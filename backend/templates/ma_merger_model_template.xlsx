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05a45c804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bd0b2434ab6445ee"/>
    <x:sheet xmlns:r="http://schemas.openxmlformats.org/officeDocument/2006/relationships" name="01_Transaction_Assumptions" sheetId="2" r:id="Rb757c58e7c62460f"/>
    <x:sheet xmlns:r="http://schemas.openxmlformats.org/officeDocument/2006/relationships" name="02_Purchase_Price" sheetId="3" r:id="Rd720a80d783a4e07"/>
    <x:sheet xmlns:r="http://schemas.openxmlformats.org/officeDocument/2006/relationships" name="03_Sources_Uses" sheetId="4" r:id="Re5a5062e4d144768"/>
    <x:sheet xmlns:r="http://schemas.openxmlformats.org/officeDocument/2006/relationships" name="04_Purchase_Accounting" sheetId="5" r:id="R5b0cca519f3e454e"/>
    <x:sheet xmlns:r="http://schemas.openxmlformats.org/officeDocument/2006/relationships" name="05_Accretion_Dilution" sheetId="6" r:id="R4d2a9d2071364a0e"/>
    <x:sheet xmlns:r="http://schemas.openxmlformats.org/officeDocument/2006/relationships" name="06_Pro_Forma_Ownership" sheetId="7" r:id="R0beb7e1fd59945a1"/>
    <x:sheet xmlns:r="http://schemas.openxmlformats.org/officeDocument/2006/relationships" name="07_Sensitivity" sheetId="8" r:id="Rd305b4f9554c45bd"/>
    <x:sheet xmlns:r="http://schemas.openxmlformats.org/officeDocument/2006/relationships" name="08_Model_Checks" sheetId="9" r:id="R5a1b83f112f94cb8"/>
    <x:sheet xmlns:r="http://schemas.openxmlformats.org/officeDocument/2006/relationships" name="09_Data_Sources" sheetId="10" r:id="R05129b08feef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-"/>
    <x:numFmt numFmtId="201" formatCode="#,##0.0;[Red](#,##0.0);-"/>
    <x:numFmt numFmtId="202" formatCode="0.0%;[Red](0.0%);-"/>
    <x:numFmt numFmtId="203" formatCode="#,##0;[Red](#,##0);-"/>
    <x:numFmt numFmtId="204" formatCode="0.0x;[Red](0.0x);-"/>
    <x:numFmt numFmtId="205" formatCode="#,##0.000000;[Red](#,##0.000000);-"/>
  </x:numFmts>
  <x:fonts count="12">
    <x:font>
      <x:sz val="11"/>
      <x:name val="Carlito"/>
    </x:font>
    <x:font>
      <x:sz val="10"/>
      <x:color rgb="FF000000"/>
      <x:name val="Arial"/>
    </x:font>
    <x:font>
      <x:b/>
      <x:sz val="15"/>
      <x:color rgb="FFFFFFFF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000000"/>
      <x:name val="Arial"/>
    </x:font>
    <x:font>
      <x:sz val="10"/>
      <x:color rgb="FF7030A0"/>
      <x:name val="Arial"/>
    </x:font>
    <x:font>
      <x:b/>
      <x:sz val="20"/>
      <x:color rgb="FFFFFFFF"/>
      <x:name val="Arial"/>
    </x:font>
    <x:font>
      <x:i/>
      <x:sz val="11"/>
      <x:color rgb="FF595959"/>
      <x:name val="Arial"/>
    </x:font>
    <x:font>
      <x:b/>
      <x:sz val="11"/>
      <x:color rgb="FF008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0253F"/>
      </x:patternFill>
    </x:fill>
  </x:fills>
  <x:borders count="6">
    <x:border/>
    <x:border/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5" fillId="2" borderId="0" xfId="0" applyNumberFormat="1" applyFont="1" applyFill="1" applyBorder="1"/>
    <x:xf numFmtId="200" fontId="5" fillId="2" borderId="1" xfId="0" applyNumberFormat="1" applyFont="1" applyFill="1" applyBorder="1"/>
    <x:xf numFmtId="201" fontId="5" fillId="2" borderId="0" xfId="0" applyNumberFormat="1" applyFont="1" applyFill="1" applyBorder="1"/>
    <x:xf numFmtId="201" fontId="5" fillId="2" borderId="1" xfId="0" applyNumberFormat="1" applyFont="1" applyFill="1" applyBorder="1"/>
    <x:xf numFmtId="202" fontId="5" fillId="2" borderId="0" xfId="0" applyNumberFormat="1" applyFont="1" applyFill="1" applyBorder="1"/>
    <x:xf numFmtId="202" fontId="5" fillId="2" borderId="1" xfId="0" applyNumberFormat="1" applyFont="1" applyFill="1" applyBorder="1"/>
    <x:xf numFmtId="203" fontId="5" fillId="2" borderId="0" xfId="0" applyNumberFormat="1" applyFont="1" applyFill="1" applyBorder="1"/>
    <x:xf numFmtId="203" fontId="5" fillId="2" borderId="1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200" fontId="6" fillId="2" borderId="0" xfId="0" applyNumberFormat="1" applyFont="1" applyFill="1" applyBorder="1"/>
    <x:xf numFmtId="200" fontId="6" fillId="2" borderId="1" xfId="0" applyNumberFormat="1" applyFont="1" applyFill="1" applyBorder="1"/>
    <x:xf numFmtId="202" fontId="1" fillId="2" borderId="0" xfId="0" applyNumberFormat="1" applyFont="1" applyFill="1" applyBorder="1"/>
    <x:xf numFmtId="202" fontId="1" fillId="2" borderId="1" xfId="0" applyNumberFormat="1" applyFont="1" applyFill="1" applyBorder="1"/>
    <x:xf numFmtId="201" fontId="6" fillId="2" borderId="0" xfId="0" applyNumberFormat="1" applyFont="1" applyFill="1" applyBorder="1"/>
    <x:xf numFmtId="201" fontId="6" fillId="2" borderId="1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0" fontId="1" fillId="2" borderId="2" xfId="0" applyNumberFormat="1" applyFont="1" applyFill="1" applyBorder="1"/>
    <x:xf numFmtId="201" fontId="1" fillId="2" borderId="2" xfId="0" applyNumberFormat="1" applyFont="1" applyFill="1" applyBorder="1"/>
    <x:xf numFmtId="0" fontId="1" fillId="2" borderId="3" xfId="0" applyNumberFormat="1" applyFont="1" applyFill="1" applyBorder="1"/>
    <x:xf numFmtId="201" fontId="1" fillId="2" borderId="3" xfId="0" applyNumberFormat="1" applyFont="1" applyFill="1" applyBorder="1"/>
    <x:xf numFmtId="0" fontId="7" fillId="2" borderId="2" xfId="0" applyNumberFormat="1" applyFont="1" applyFill="1" applyBorder="1"/>
    <x:xf numFmtId="201" fontId="7" fillId="2" borderId="2" xfId="0" applyNumberFormat="1" applyFont="1" applyFill="1" applyBorder="1"/>
    <x:xf numFmtId="0" fontId="7" fillId="2" borderId="3" xfId="0" applyNumberFormat="1" applyFont="1" applyFill="1" applyBorder="1"/>
    <x:xf numFmtId="201" fontId="7" fillId="2" borderId="3" xfId="0" applyNumberFormat="1" applyFont="1" applyFill="1" applyBorder="1"/>
    <x:xf numFmtId="204" fontId="1" fillId="2" borderId="0" xfId="0" applyNumberFormat="1" applyFont="1" applyFill="1" applyBorder="1"/>
    <x:xf numFmtId="204" fontId="1" fillId="2" borderId="1" xfId="0" applyNumberFormat="1" applyFont="1" applyFill="1" applyBorder="1"/>
    <x:xf numFmtId="203" fontId="6" fillId="2" borderId="0" xfId="0" applyNumberFormat="1" applyFont="1" applyFill="1" applyBorder="1"/>
    <x:xf numFmtId="203" fontId="6" fillId="2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2" fontId="1" fillId="2" borderId="2" xfId="0" applyNumberFormat="1" applyFont="1" applyFill="1" applyBorder="1"/>
    <x:xf numFmtId="202" fontId="1" fillId="2" borderId="3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4" xfId="0" applyNumberFormat="1" applyFont="1" applyFill="1" applyBorder="1" applyAlignment="1">
      <x:alignment horizontal="right"/>
    </x:xf>
    <x:xf numFmtId="0" fontId="7" fillId="5" borderId="4" xfId="0" applyNumberFormat="1" applyFont="1" applyFill="1" applyBorder="1" applyAlignment="1">
      <x:alignment horizontal="right" vertical="center"/>
    </x:xf>
    <x:xf numFmtId="0" fontId="1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5" xfId="0" applyNumberFormat="1" applyFont="1" applyFill="1" applyBorder="1"/>
    <x:xf numFmtId="0" fontId="7" fillId="5" borderId="5" xfId="0" applyNumberFormat="1" applyFont="1" applyFill="1" applyBorder="1" applyAlignment="1">
      <x:alignment horizontal="right"/>
    </x:xf>
    <x:xf numFmtId="0" fontId="7" fillId="5" borderId="5" xfId="0" applyNumberFormat="1" applyFont="1" applyFill="1" applyBorder="1" applyAlignment="1">
      <x:alignment horizontal="right" vertical="center"/>
    </x:xf>
    <x:xf numFmtId="0" fontId="7" fillId="5" borderId="4" xfId="0" applyNumberFormat="1" applyFont="1" applyFill="1" applyBorder="1" applyAlignment="1">
      <x:alignment horizontal="left" vertical="center"/>
    </x:xf>
    <x:xf numFmtId="0" fontId="7" fillId="5" borderId="5" xfId="0" applyNumberFormat="1" applyFont="1" applyFill="1" applyBorder="1" applyAlignment="1">
      <x:alignment horizontal="left" vertical="center"/>
    </x:xf>
    <x:xf numFmtId="202" fontId="6" fillId="2" borderId="0" xfId="0" applyNumberFormat="1" applyFont="1" applyFill="1" applyBorder="1"/>
    <x:xf numFmtId="202" fontId="6" fillId="2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202" fontId="8" fillId="2" borderId="0" xfId="0" applyNumberFormat="1" applyFont="1" applyFill="1" applyBorder="1"/>
    <x:xf numFmtId="202" fontId="8" fillId="2" borderId="1" xfId="0" applyNumberFormat="1" applyFont="1" applyFill="1" applyBorder="1"/>
    <x:xf numFmtId="205" fontId="1" fillId="2" borderId="0" xfId="0" applyNumberFormat="1" applyFont="1" applyFill="1" applyBorder="1"/>
    <x:xf numFmtId="205" fontId="1" fillId="2" borderId="1" xfId="0" applyNumberFormat="1" applyFont="1" applyFill="1" applyBorder="1"/>
    <x:xf numFmtId="201" fontId="8" fillId="2" borderId="0" xfId="0" applyNumberFormat="1" applyFont="1" applyFill="1" applyBorder="1"/>
    <x:xf numFmtId="201" fontId="8" fillId="2" borderId="1" xfId="0" applyNumberFormat="1" applyFont="1" applyFill="1" applyBorder="1"/>
    <x:xf numFmtId="204" fontId="6" fillId="2" borderId="0" xfId="0" applyNumberFormat="1" applyFont="1" applyFill="1" applyBorder="1"/>
    <x:xf numFmtId="204" fontId="6" fillId="2" borderId="1" xfId="0" applyNumberFormat="1" applyFont="1" applyFill="1" applyBorder="1"/>
    <x:xf numFmtId="204" fontId="8" fillId="2" borderId="0" xfId="0" applyNumberFormat="1" applyFont="1" applyFill="1" applyBorder="1"/>
    <x:xf numFmtId="204" fontId="8" fillId="2" borderId="1" xfId="0" applyNumberFormat="1" applyFont="1" applyFill="1" applyBorder="1"/>
    <x:xf numFmtId="200" fontId="8" fillId="2" borderId="0" xfId="0" applyNumberFormat="1" applyFont="1" applyFill="1" applyBorder="1"/>
    <x:xf numFmtId="200" fontId="8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 vertical="center"/>
    </x:xf>
    <x:xf numFmtId="0" fontId="1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horizontal="left"/>
    </x:xf>
    <x:xf numFmtId="0" fontId="9" fillId="6" borderId="1" xfId="0" applyNumberFormat="1" applyFont="1" applyFill="1" applyBorder="1" applyAlignment="1">
      <x:alignment horizontal="left" vertical="center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1" fillId="2" borderId="0" xfId="0" applyNumberFormat="1" applyFont="1" applyFill="1" applyBorder="1"/>
    <x:xf numFmtId="202" fontId="11" fillId="2" borderId="0" xfId="0" applyNumberFormat="1" applyFont="1" applyFill="1" applyBorder="1"/>
    <x:xf numFmtId="0" fontId="11" fillId="2" borderId="1" xfId="0" applyNumberFormat="1" applyFont="1" applyFill="1" applyBorder="1"/>
    <x:xf numFmtId="202" fontId="11" fillId="2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6c5f1365a4733" /><Relationship Type="http://schemas.openxmlformats.org/officeDocument/2006/relationships/theme" Target="/xl/theme/theme1.xml" Id="R7be12f2ec1624be8" /><Relationship Type="http://schemas.openxmlformats.org/officeDocument/2006/relationships/sharedStrings" Target="/xl/sharedStrings.xml" Id="R18d85c7a2abf4fc6" /><Relationship Type="http://schemas.openxmlformats.org/officeDocument/2006/relationships/worksheet" Target="/xl/worksheets/sheet1.xml" Id="Rbd0b2434ab6445ee" /><Relationship Type="http://schemas.openxmlformats.org/officeDocument/2006/relationships/worksheet" Target="/xl/worksheets/sheet2.xml" Id="Rb757c58e7c62460f" /><Relationship Type="http://schemas.openxmlformats.org/officeDocument/2006/relationships/worksheet" Target="/xl/worksheets/sheet3.xml" Id="Rd720a80d783a4e07" /><Relationship Type="http://schemas.openxmlformats.org/officeDocument/2006/relationships/worksheet" Target="/xl/worksheets/sheet4.xml" Id="Re5a5062e4d144768" /><Relationship Type="http://schemas.openxmlformats.org/officeDocument/2006/relationships/worksheet" Target="/xl/worksheets/sheet5.xml" Id="R5b0cca519f3e454e" /><Relationship Type="http://schemas.openxmlformats.org/officeDocument/2006/relationships/worksheet" Target="/xl/worksheets/sheet6.xml" Id="R4d2a9d2071364a0e" /><Relationship Type="http://schemas.openxmlformats.org/officeDocument/2006/relationships/worksheet" Target="/xl/worksheets/sheet7.xml" Id="R0beb7e1fd59945a1" /><Relationship Type="http://schemas.openxmlformats.org/officeDocument/2006/relationships/worksheet" Target="/xl/worksheets/sheet8.xml" Id="Rd305b4f9554c45bd" /><Relationship Type="http://schemas.openxmlformats.org/officeDocument/2006/relationships/worksheet" Target="/xl/worksheets/sheet9.xml" Id="R5a1b83f112f94cb8" /><Relationship Type="http://schemas.openxmlformats.org/officeDocument/2006/relationships/worksheet" Target="/xl/worksheets/sheet10.xml" Id="R05129b08feef49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2e1908ac69477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db9b574999442c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b6498faaca34d4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19419f1015145b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7ff4430be144b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Consideration Mix</a:t>
            </a:r>
          </a:p>
        </c:rich>
      </c:tx>
    </c:title>
    <c:plotArea>
      <c:pieChart>
        <c:ser>
          <c:idx val="0"/>
          <c:order val="0"/>
          <c:tx>
            <c:v>£m</c:v>
          </c:tx>
          <c:cat>
            <c:strRef>
              <c:f>'00_Cover'!$G$8:$G$9</c:f>
              <c:strCache>
                <c:ptCount val="0"/>
              </c:strCache>
            </c:strRef>
          </c:cat>
          <c:val>
            <c:numRef>
              <c:f>'00_Cover'!$H$8:$H$9</c:f>
              <c:numCache>
                <c:formatCode>#,##0.0;[Red](#,##0.0);-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Equity Consideration Mix</a:t>
            </a:r>
          </a:p>
        </c:rich>
      </c:tx>
    </c:title>
    <c:plotArea>
      <c:pieChart>
        <c:ser>
          <c:idx val="0"/>
          <c:order val="0"/>
          <c:tx>
            <c:v>£m</c:v>
          </c:tx>
          <c:cat>
            <c:strRef>
              <c:f>'03_Sources_Uses'!$G$6:$G$7</c:f>
              <c:strCache>
                <c:ptCount val="0"/>
              </c:strCache>
            </c:strRef>
          </c:cat>
          <c:val>
            <c:numRef>
              <c:f>'03_Sources_Uses'!$H$6:$H$7</c:f>
              <c:numCache>
                <c:formatCode>#,##0.0;[Red](#,##0.0);-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Purchase Price Allocation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£m</c:v>
          </c:tx>
          <c:cat>
            <c:strRef>
              <c:f>'04_Purchase_Accounting'!$D$6:$D$8</c:f>
              <c:strCache>
                <c:ptCount val="0"/>
              </c:strCache>
            </c:strRef>
          </c:cat>
          <c:val>
            <c:numRef>
              <c:f>'04_Purchase_Accounting'!$E$6:$E$8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Earnings Adjustments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£m</c:v>
          </c:tx>
          <c:cat>
            <c:strRef>
              <c:f>'05_Accretion_Dilution'!$D$6:$D$10</c:f>
              <c:strCache>
                <c:ptCount val="0"/>
              </c:strCache>
            </c:strRef>
          </c:cat>
          <c:val>
            <c:numRef>
              <c:f>'05_Accretion_Dilution'!$E$6:$E$10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 Forma Ownership</a:t>
            </a:r>
          </a:p>
        </c:rich>
      </c:tx>
    </c:title>
    <c:plotArea>
      <c:pieChart>
        <c:ser>
          <c:idx val="0"/>
          <c:order val="0"/>
          <c:tx>
            <c:v>Ownership</c:v>
          </c:tx>
          <c:cat>
            <c:strRef>
              <c:f>'06_Pro_Forma_Ownership'!$D$6:$D$7</c:f>
              <c:strCache>
                <c:ptCount val="0"/>
              </c:strCache>
            </c:strRef>
          </c:cat>
          <c:val>
            <c:numRef>
              <c:f>'06_Pro_Forma_Ownership'!$E$6:$E$7</c:f>
              <c:numCache>
                <c:formatCode>0.0%;[Red](0.0%);-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2e1908ac6947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b9b574999442c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498faaca34d4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9419f1015145b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ff4430be144b2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f15268b97640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930642fc93347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ef5a8f82c3c441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7a935d430e9344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b9f9c17ef1bf4d57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103" t="str">
        <x:v>M&amp;A Execution / Merger Model</x:v>
      </x:c>
      <x:c r="C2" s="103"/>
      <x:c r="D2" s="103"/>
      <x:c r="E2" s="103"/>
      <x:c r="F2" s="103"/>
      <x:c r="G2" s="103"/>
      <x:c r="H2" s="103"/>
      <x:c r="I2" s="103"/>
      <x:c r="J2" s="103"/>
      <x:c r="K2" s="4"/>
      <x:c r="L2" s="4"/>
      <x:c r="M2" s="4"/>
      <x:c r="N2" s="4"/>
    </x:row>
    <x:row r="3">
      <x:c r="A3" s="4"/>
      <x:c r="B3" s="103"/>
      <x:c r="C3" s="103"/>
      <x:c r="D3" s="103"/>
      <x:c r="E3" s="103"/>
      <x:c r="F3" s="103"/>
      <x:c r="G3" s="103"/>
      <x:c r="H3" s="103"/>
      <x:c r="I3" s="103"/>
      <x:c r="J3" s="103"/>
      <x:c r="K3" s="4"/>
      <x:c r="L3" s="4"/>
      <x:c r="M3" s="4"/>
      <x:c r="N3" s="4"/>
    </x:row>
    <x:row r="4">
      <x:c r="A4" s="4"/>
      <x:c r="B4" s="108" t="str">
        <x:v>Apex Systems plc → Meridian Analytics plc | Controlled Sample Transaction</x:v>
      </x:c>
      <x:c r="C4" s="108"/>
      <x:c r="D4" s="108"/>
      <x:c r="E4" s="108"/>
      <x:c r="F4" s="108"/>
      <x:c r="G4" s="108"/>
      <x:c r="H4" s="108"/>
      <x:c r="I4" s="108"/>
      <x:c r="J4" s="108"/>
      <x:c r="K4" s="4"/>
      <x:c r="L4" s="4"/>
      <x:c r="M4" s="4"/>
      <x:c r="N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 ht="18" customHeight="1">
      <x:c r="A6" s="22" t="str">
        <x:v>Transaction Snapshot</x:v>
      </x:c>
      <x:c r="B6" s="22"/>
      <x:c r="C6" s="22"/>
      <x:c r="D6" s="22"/>
      <x:c r="E6" s="22"/>
      <x:c r="F6" s="22"/>
      <x:c r="G6" s="22"/>
      <x:c r="H6" s="22"/>
      <x:c r="I6" s="22"/>
      <x:c r="J6" s="22"/>
      <x:c r="K6" s="4"/>
      <x:c r="L6" s="4"/>
      <x:c r="M6" s="4"/>
      <x:c r="N6" s="4"/>
    </x:row>
    <x:row r="7">
      <x:c r="A7" s="4"/>
      <x:c r="B7" s="4" t="str">
        <x:v>Offer Price / Share</x:v>
      </x:c>
      <x:c r="C7" s="46" t="n">
        <x:f>'02_Purchase_Price'!B6</x:f>
        <x:v>25</x:v>
      </x:c>
      <x:c r="D7" s="4"/>
      <x:c r="E7" s="4"/>
      <x:c r="F7" s="4"/>
      <x:c r="G7" s="4" t="str">
        <x:v>Consideration</x:v>
      </x:c>
      <x:c r="H7" s="4" t="str">
        <x:v>£m</x:v>
      </x:c>
      <x:c r="I7" s="4"/>
      <x:c r="J7" s="4"/>
      <x:c r="K7" s="4"/>
      <x:c r="L7" s="4"/>
      <x:c r="M7" s="4"/>
      <x:c r="N7" s="4"/>
    </x:row>
    <x:row r="8">
      <x:c r="A8" s="4"/>
      <x:c r="B8" s="4" t="str">
        <x:v>Offer Premium</x:v>
      </x:c>
      <x:c r="C8" s="82" t="n">
        <x:f>'02_Purchase_Price'!B7</x:f>
        <x:v>0.25</x:v>
      </x:c>
      <x:c r="D8" s="4"/>
      <x:c r="E8" s="4"/>
      <x:c r="F8" s="4"/>
      <x:c r="G8" s="4" t="str">
        <x:v>Cash</x:v>
      </x:c>
      <x:c r="H8" s="50" t="n">
        <x:f>'03_Sources_Uses'!B5+'03_Sources_Uses'!B6</x:f>
        <x:v>1250</x:v>
      </x:c>
      <x:c r="I8" s="4"/>
      <x:c r="J8" s="4"/>
      <x:c r="K8" s="4"/>
      <x:c r="L8" s="4"/>
      <x:c r="M8" s="4"/>
      <x:c r="N8" s="4"/>
    </x:row>
    <x:row r="9">
      <x:c r="A9" s="4"/>
      <x:c r="B9" s="4" t="str">
        <x:v>Equity Purchase Price (£m)</x:v>
      </x:c>
      <x:c r="C9" s="50" t="n">
        <x:f>'02_Purchase_Price'!B9</x:f>
        <x:v>2500</x:v>
      </x:c>
      <x:c r="D9" s="4"/>
      <x:c r="E9" s="4"/>
      <x:c r="F9" s="4"/>
      <x:c r="G9" s="4" t="str">
        <x:v>Stock</x:v>
      </x:c>
      <x:c r="H9" s="50" t="n">
        <x:f>'03_Sources_Uses'!B7</x:f>
        <x:v>1250</x:v>
      </x:c>
      <x:c r="I9" s="4"/>
      <x:c r="J9" s="4"/>
      <x:c r="K9" s="4"/>
      <x:c r="L9" s="4"/>
      <x:c r="M9" s="4"/>
      <x:c r="N9" s="4"/>
    </x:row>
    <x:row r="10">
      <x:c r="A10" s="4"/>
      <x:c r="B10" s="4" t="str">
        <x:v>Enterprise Value (£m)</x:v>
      </x:c>
      <x:c r="C10" s="50" t="n">
        <x:f>'02_Purchase_Price'!B12</x:f>
        <x:v>2800</x:v>
      </x:c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4"/>
      <x:c r="B11" s="4" t="str">
        <x:v>EV / EBITDA</x:v>
      </x:c>
      <x:c r="C11" s="92" t="n">
        <x:f>'02_Purchase_Price'!B19</x:f>
        <x:v>11.2</x:v>
      </x:c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>
      <x:c r="A12" s="4"/>
      <x:c r="B12" s="110" t="str">
        <x:v>EPS Accretion / (Dilution)</x:v>
      </x:c>
      <x:c r="C12" s="111" t="n">
        <x:f>'05_Accretion_Dilution'!B20</x:f>
        <x:v>0.0875</x:v>
      </x:c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4"/>
      <x:c r="B13" s="110" t="str">
        <x:v>Classification</x:v>
      </x:c>
      <x:c r="C13" s="110" t="str">
        <x:f>'05_Accretion_Dilution'!B21</x:f>
        <x:v>ACCRETIVE</x:v>
      </x:c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 ht="18" customHeight="1">
      <x:c r="A16" s="22" t="str">
        <x:v>Funding &amp; Ownership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K16" s="4"/>
      <x:c r="L16" s="4"/>
      <x:c r="M16" s="4"/>
      <x:c r="N16" s="4"/>
    </x:row>
    <x:row r="17">
      <x:c r="A17" s="4"/>
      <x:c r="B17" s="4" t="str">
        <x:v>Cash Consideration (£m)</x:v>
      </x:c>
      <x:c r="C17" s="50" t="n">
        <x:f>'03_Sources_Uses'!B5+'03_Sources_Uses'!B6</x:f>
        <x:v>1250</x:v>
      </x:c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/>
      <x:c r="B18" s="4" t="str">
        <x:v>Stock Consideration (£m)</x:v>
      </x:c>
      <x:c r="C18" s="50" t="n">
        <x:f>'03_Sources_Uses'!B7</x:f>
        <x:v>1250</x:v>
      </x:c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/>
      <x:c r="B19" s="4" t="str">
        <x:v>New Debt Raised (£m)</x:v>
      </x:c>
      <x:c r="C19" s="50" t="n">
        <x:f>'03_Sources_Uses'!B6</x:f>
        <x:v>750</x:v>
      </x:c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 t="str">
        <x:v>New Shares Issued (m)</x:v>
      </x:c>
      <x:c r="C20" s="50" t="n">
        <x:f>'06_Pro_Forma_Ownership'!B7</x:f>
        <x:v>31.25</x:v>
      </x:c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 t="str">
        <x:v>Target Seller Ownership</x:v>
      </x:c>
      <x:c r="C21" s="82" t="n">
        <x:f>'06_Pro_Forma_Ownership'!B12</x:f>
        <x:v>0.1111111111111111</x:v>
      </x:c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 t="str">
        <x:v>Goodwill Created (£m)</x:v>
      </x:c>
      <x:c r="C22" s="50" t="n">
        <x:f>'04_Purchase_Accounting'!B8</x:f>
        <x:v>1300</x:v>
      </x:c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 ht="18" customHeight="1">
      <x:c r="A25" s="22" t="str">
        <x:v>Model Integrity</x:v>
      </x:c>
      <x:c r="B25" s="22"/>
      <x:c r="C25" s="22"/>
      <x:c r="D25" s="22"/>
      <x:c r="E25" s="22"/>
      <x:c r="F25" s="22"/>
      <x:c r="G25" s="22"/>
      <x:c r="H25" s="22"/>
      <x:c r="I25" s="22"/>
      <x:c r="J25" s="22"/>
      <x:c r="K25" s="4"/>
      <x:c r="L25" s="4"/>
      <x:c r="M25" s="4"/>
      <x:c r="N25" s="4"/>
    </x:row>
    <x:row r="26">
      <x:c r="A26" s="4"/>
      <x:c r="B26" s="4" t="str">
        <x:v>Model Checks</x:v>
      </x:c>
      <x:c r="C26" s="44" t="str">
        <x:f>'08_Model_Checks'!G23</x:f>
        <x:v>ALL CHECKS PASS</x:v>
      </x:c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39" t="str">
        <x:v>Illustrative transaction analysis for fictional companies. The Python engine remains the source of truth; the Excel workbook exposes formulas for banker review and scenario analysis. Not transaction advice.</x:v>
      </x:c>
      <x:c r="C28" s="39"/>
      <x:c r="D28" s="39"/>
      <x:c r="E28" s="39"/>
      <x:c r="F28" s="39"/>
      <x:c r="G28" s="39"/>
      <x:c r="H28" s="39"/>
      <x:c r="I28" s="39"/>
      <x:c r="J28" s="39"/>
      <x:c r="K28" s="4"/>
      <x:c r="L28" s="4"/>
      <x:c r="M28" s="4"/>
      <x:c r="N28" s="4"/>
    </x:row>
    <x:row r="29">
      <x:c r="A29" s="4"/>
      <x:c r="B29" s="39"/>
      <x:c r="C29" s="39"/>
      <x:c r="D29" s="39"/>
      <x:c r="E29" s="39"/>
      <x:c r="F29" s="39"/>
      <x:c r="G29" s="39"/>
      <x:c r="H29" s="39"/>
      <x:c r="I29" s="39"/>
      <x:c r="J29" s="39"/>
      <x:c r="K29" s="4"/>
      <x:c r="L29" s="4"/>
      <x:c r="M29" s="4"/>
      <x:c r="N29" s="4"/>
    </x:row>
    <x:row r="30">
      <x:c r="A30" s="4"/>
      <x:c r="B30" s="39"/>
      <x:c r="C30" s="39"/>
      <x:c r="D30" s="39"/>
      <x:c r="E30" s="39"/>
      <x:c r="F30" s="39"/>
      <x:c r="G30" s="39"/>
      <x:c r="H30" s="39"/>
      <x:c r="I30" s="39"/>
      <x:c r="J30" s="39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B2:J3"/>
    <x:mergeCell ref="B4:J4"/>
    <x:mergeCell ref="A6:J6"/>
    <x:mergeCell ref="A16:J16"/>
    <x:mergeCell ref="A25:J25"/>
    <x:mergeCell ref="B28:J30"/>
  </x:mergeCells>
  <x:pageMargins left="0.7" right="0.7" top="0.75" bottom="0.75" header="0.3" footer="0.3"/>
  <x:drawing xmlns:r="http://schemas.openxmlformats.org/officeDocument/2006/relationships" r:id="R6af15268b9764042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3" hidden="0" customWidth="1"/>
    <x:col min="4" max="4" width="28" hidden="0" customWidth="1"/>
    <x:col min="5" max="5" width="20" hidden="0" customWidth="1"/>
    <x:col min="6" max="6" width="3" hidden="0" customWidth="1"/>
    <x:col min="7" max="7" width="30" hidden="0" customWidth="1"/>
    <x:col min="8" max="8" width="18" hidden="0" customWidth="1"/>
    <x:col min="9" max="9" width="3" hidden="0" customWidth="1"/>
    <x:col min="10" max="10" width="34" hidden="0" customWidth="1"/>
  </x:cols>
  <x:sheetData>
    <x:row r="1" ht="24" customHeight="1">
      <x:c r="A1" s="9" t="str">
        <x:v>Transaction Assumptions</x:v>
      </x:c>
      <x:c r="B1" s="9"/>
      <x:c r="C1" s="9"/>
      <x:c r="D1" s="9"/>
      <x:c r="E1" s="9"/>
      <x:c r="F1" s="9"/>
      <x:c r="G1" s="9"/>
      <x:c r="H1" s="9"/>
      <x:c r="I1" s="9"/>
      <x:c r="J1" s="9"/>
      <x:c r="K1" s="4"/>
      <x:c r="L1" s="4"/>
      <x:c r="M1" s="4"/>
      <x:c r="N1" s="4"/>
    </x:row>
    <x:row r="2">
      <x:c r="A2" s="16" t="str">
        <x:v>Controlled sample transaction. Blue = hard-coded input; green = cross-sheet link; black = formula.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Acquirer Standalone</x:v>
      </x:c>
      <x:c r="B4" s="22"/>
      <x:c r="C4" s="4"/>
      <x:c r="D4" s="21" t="str">
        <x:v>Target Standalone</x:v>
      </x:c>
      <x:c r="E4" s="21"/>
      <x:c r="F4" s="4"/>
      <x:c r="G4" s="21" t="str">
        <x:v>Transaction &amp; Financing</x:v>
      </x:c>
      <x:c r="H4" s="21"/>
      <x:c r="I4" s="4"/>
      <x:c r="J4" s="21" t="str">
        <x:v>Source / Status</x:v>
      </x:c>
      <x:c r="K4" s="4"/>
      <x:c r="L4" s="4"/>
      <x:c r="M4" s="4"/>
      <x:c r="N4" s="4"/>
    </x:row>
    <x:row r="5">
      <x:c r="A5" s="4" t="str">
        <x:v>Acquirer Name</x:v>
      </x:c>
      <x:c r="B5" s="26" t="str">
        <x:v>Apex Systems plc</x:v>
      </x:c>
      <x:c r="C5" s="4"/>
      <x:c r="D5" s="4" t="str">
        <x:v>Target Name</x:v>
      </x:c>
      <x:c r="E5" s="26" t="str">
        <x:v>Meridian Analytics plc</x:v>
      </x:c>
      <x:c r="F5" s="4"/>
      <x:c r="G5" s="4" t="str">
        <x:v>Offer Price / Share</x:v>
      </x:c>
      <x:c r="H5" s="28" t="n">
        <x:v>25</x:v>
      </x:c>
      <x:c r="I5" s="4"/>
      <x:c r="J5" s="4" t="str">
        <x:v>Controlled sample / user-editable</x:v>
      </x:c>
      <x:c r="K5" s="4"/>
      <x:c r="L5" s="4"/>
      <x:c r="M5" s="4"/>
      <x:c r="N5" s="4"/>
    </x:row>
    <x:row r="6">
      <x:c r="A6" s="4" t="str">
        <x:v>Ticker</x:v>
      </x:c>
      <x:c r="B6" s="26" t="str">
        <x:v>APX</x:v>
      </x:c>
      <x:c r="C6" s="4"/>
      <x:c r="D6" s="4" t="str">
        <x:v>Ticker</x:v>
      </x:c>
      <x:c r="E6" s="26" t="str">
        <x:v>MDA</x:v>
      </x:c>
      <x:c r="F6" s="4"/>
      <x:c r="G6" s="4" t="str">
        <x:v>Cash Consideration</x:v>
      </x:c>
      <x:c r="H6" s="32" t="n">
        <x:v>0.5</x:v>
      </x:c>
      <x:c r="I6" s="4"/>
      <x:c r="J6" s="4" t="str">
        <x:v>Controlled sample / user-editable</x:v>
      </x:c>
      <x:c r="K6" s="4"/>
      <x:c r="L6" s="4"/>
      <x:c r="M6" s="4"/>
      <x:c r="N6" s="4"/>
    </x:row>
    <x:row r="7">
      <x:c r="A7" s="4" t="str">
        <x:v>Currency</x:v>
      </x:c>
      <x:c r="B7" s="26" t="str">
        <x:v>GBP</x:v>
      </x:c>
      <x:c r="C7" s="4"/>
      <x:c r="D7" s="4" t="str">
        <x:v>Unaffected Share Price</x:v>
      </x:c>
      <x:c r="E7" s="28" t="str">
        <x:v>20.00</x:v>
      </x:c>
      <x:c r="F7" s="4"/>
      <x:c r="G7" s="4" t="str">
        <x:v>Stock Consideration</x:v>
      </x:c>
      <x:c r="H7" s="32" t="n">
        <x:v>0.5</x:v>
      </x:c>
      <x:c r="I7" s="4"/>
      <x:c r="J7" s="4" t="str">
        <x:v>Controlled sample / user-editable</x:v>
      </x:c>
      <x:c r="K7" s="4"/>
      <x:c r="L7" s="4"/>
      <x:c r="M7" s="4"/>
      <x:c r="N7" s="4"/>
    </x:row>
    <x:row r="8">
      <x:c r="A8" s="4" t="str">
        <x:v>Share Price</x:v>
      </x:c>
      <x:c r="B8" s="28" t="str">
        <x:v>40.00</x:v>
      </x:c>
      <x:c r="C8" s="4"/>
      <x:c r="D8" s="4" t="str">
        <x:v>Shares Outstanding (m)</x:v>
      </x:c>
      <x:c r="E8" s="30" t="n">
        <x:v>100</x:v>
      </x:c>
      <x:c r="F8" s="4"/>
      <x:c r="G8" s="4" t="str">
        <x:v>Cash on Hand Used (£m)</x:v>
      </x:c>
      <x:c r="H8" s="30" t="n">
        <x:v>500</x:v>
      </x:c>
      <x:c r="I8" s="4"/>
      <x:c r="J8" s="4" t="str">
        <x:v>Controlled sample / user-editable</x:v>
      </x:c>
      <x:c r="K8" s="4"/>
      <x:c r="L8" s="4"/>
      <x:c r="M8" s="4"/>
      <x:c r="N8" s="4"/>
    </x:row>
    <x:row r="9">
      <x:c r="A9" s="4" t="str">
        <x:v>Shares Outstanding (m)</x:v>
      </x:c>
      <x:c r="B9" s="30" t="n">
        <x:v>250</x:v>
      </x:c>
      <x:c r="C9" s="4"/>
      <x:c r="D9" s="4" t="str">
        <x:v>Net Income (£m)</x:v>
      </x:c>
      <x:c r="E9" s="30" t="n">
        <x:v>120</x:v>
      </x:c>
      <x:c r="F9" s="4"/>
      <x:c r="G9" s="4" t="str">
        <x:v>New Debt Interest Rate</x:v>
      </x:c>
      <x:c r="H9" s="32" t="n">
        <x:v>0.055</x:v>
      </x:c>
      <x:c r="I9" s="4"/>
      <x:c r="J9" s="4" t="str">
        <x:v>Controlled sample / user-editable</x:v>
      </x:c>
      <x:c r="K9" s="4"/>
      <x:c r="L9" s="4"/>
      <x:c r="M9" s="4"/>
      <x:c r="N9" s="4"/>
    </x:row>
    <x:row r="10">
      <x:c r="A10" s="4" t="str">
        <x:v>Net Income (£m)</x:v>
      </x:c>
      <x:c r="B10" s="30" t="n">
        <x:v>600</x:v>
      </x:c>
      <x:c r="C10" s="4"/>
      <x:c r="D10" s="4" t="str">
        <x:v>LTM Revenue (£m)</x:v>
      </x:c>
      <x:c r="E10" s="30" t="n">
        <x:v>1500</x:v>
      </x:c>
      <x:c r="F10" s="4"/>
      <x:c r="G10" s="4" t="str">
        <x:v>Cash Interest Rate</x:v>
      </x:c>
      <x:c r="H10" s="32" t="n">
        <x:v>0.02</x:v>
      </x:c>
      <x:c r="I10" s="4"/>
      <x:c r="J10" s="4" t="str">
        <x:v>Controlled sample / user-editable</x:v>
      </x:c>
      <x:c r="K10" s="4"/>
      <x:c r="L10" s="4"/>
      <x:c r="M10" s="4"/>
      <x:c r="N10" s="4"/>
    </x:row>
    <x:row r="11">
      <x:c r="A11" s="4"/>
      <x:c r="B11" s="4"/>
      <x:c r="C11" s="4"/>
      <x:c r="D11" s="4" t="str">
        <x:v>LTM EBITDA (£m)</x:v>
      </x:c>
      <x:c r="E11" s="30" t="n">
        <x:v>250</x:v>
      </x:c>
      <x:c r="F11" s="4"/>
      <x:c r="G11" s="4" t="str">
        <x:v>Tax Rate</x:v>
      </x:c>
      <x:c r="H11" s="32" t="n">
        <x:v>0.25</x:v>
      </x:c>
      <x:c r="I11" s="4"/>
      <x:c r="J11" s="4" t="str">
        <x:v>Controlled sample / user-editable</x:v>
      </x:c>
      <x:c r="K11" s="4"/>
      <x:c r="L11" s="4"/>
      <x:c r="M11" s="4"/>
      <x:c r="N11" s="4"/>
    </x:row>
    <x:row r="12">
      <x:c r="A12" s="4"/>
      <x:c r="B12" s="4"/>
      <x:c r="C12" s="4"/>
      <x:c r="D12" s="4" t="str">
        <x:v>Debt (£m)</x:v>
      </x:c>
      <x:c r="E12" s="30" t="n">
        <x:v>500</x:v>
      </x:c>
      <x:c r="F12" s="4"/>
      <x:c r="G12" s="4" t="str">
        <x:v>Annual Pre-Tax Synergies (£m)</x:v>
      </x:c>
      <x:c r="H12" s="30" t="n">
        <x:v>100</x:v>
      </x:c>
      <x:c r="I12" s="4"/>
      <x:c r="J12" s="4" t="str">
        <x:v>Controlled sample / user-editable</x:v>
      </x:c>
      <x:c r="K12" s="4"/>
      <x:c r="L12" s="4"/>
      <x:c r="M12" s="4"/>
      <x:c r="N12" s="4"/>
    </x:row>
    <x:row r="13">
      <x:c r="A13" s="4"/>
      <x:c r="B13" s="4"/>
      <x:c r="C13" s="4"/>
      <x:c r="D13" s="4" t="str">
        <x:v>Cash (£m)</x:v>
      </x:c>
      <x:c r="E13" s="30" t="n">
        <x:v>200</x:v>
      </x:c>
      <x:c r="F13" s="4"/>
      <x:c r="G13" s="4" t="str">
        <x:v>Identifiable Intangible Write-Up (£m)</x:v>
      </x:c>
      <x:c r="H13" s="30" t="n">
        <x:v>300</x:v>
      </x:c>
      <x:c r="I13" s="4"/>
      <x:c r="J13" s="4" t="str">
        <x:v>Controlled sample / user-editable</x:v>
      </x:c>
      <x:c r="K13" s="4"/>
      <x:c r="L13" s="4"/>
      <x:c r="M13" s="4"/>
      <x:c r="N13" s="4"/>
    </x:row>
    <x:row r="14">
      <x:c r="A14" s="4"/>
      <x:c r="B14" s="4"/>
      <x:c r="C14" s="4"/>
      <x:c r="D14" s="4" t="str">
        <x:v>Book Equity (£m)</x:v>
      </x:c>
      <x:c r="E14" s="30" t="n">
        <x:v>900</x:v>
      </x:c>
      <x:c r="F14" s="4"/>
      <x:c r="G14" s="4" t="str">
        <x:v>Amortization Period (Years)</x:v>
      </x:c>
      <x:c r="H14" s="34" t="n">
        <x:v>10</x:v>
      </x:c>
      <x:c r="I14" s="4"/>
      <x:c r="J14" s="4" t="str">
        <x:v>Controlled sample / user-editable</x:v>
      </x:c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39" t="str">
        <x:v>Model scope: simplified transaction analysis for a fictional issuer pair. Purchase accounting excludes deferred taxes, step-up depreciation and financing fees.</x:v>
      </x:c>
      <x:c r="B17" s="39"/>
      <x:c r="C17" s="39"/>
      <x:c r="D17" s="39"/>
      <x:c r="E17" s="39"/>
      <x:c r="F17" s="39"/>
      <x:c r="G17" s="39"/>
      <x:c r="H17" s="39"/>
      <x:c r="I17" s="39"/>
      <x:c r="J17" s="39"/>
      <x:c r="K17" s="4"/>
      <x:c r="L17" s="4"/>
      <x:c r="M17" s="4"/>
      <x:c r="N17" s="4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4"/>
      <x:c r="L18" s="4"/>
      <x:c r="M18" s="4"/>
      <x:c r="N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J1"/>
    <x:mergeCell ref="A2:J2"/>
    <x:mergeCell ref="A4:B4"/>
    <x:mergeCell ref="D4:E4"/>
    <x:mergeCell ref="G4:H4"/>
    <x:mergeCell ref="A17:J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26" hidden="0" customWidth="1"/>
    <x:col min="5" max="5" width="18" hidden="0" customWidth="1"/>
    <x:col min="6" max="6" width="20" hidden="0" customWidth="1"/>
  </x:cols>
  <x:sheetData>
    <x:row r="1" ht="24" customHeight="1">
      <x:c r="A1" s="9" t="str">
        <x:v>Purchase Price &amp; Valuation</x:v>
      </x:c>
      <x:c r="B1" s="9"/>
      <x:c r="C1" s="9"/>
      <x:c r="D1" s="9"/>
      <x:c r="E1" s="9"/>
      <x:c r="F1" s="9"/>
      <x:c r="G1" s="4"/>
      <x:c r="H1" s="4"/>
      <x:c r="I1" s="4"/>
      <x:c r="J1" s="4"/>
      <x:c r="K1" s="4"/>
      <x:c r="L1" s="4"/>
      <x:c r="M1" s="4"/>
      <x:c r="N1" s="4"/>
    </x:row>
    <x:row r="2">
      <x:c r="A2" s="16" t="str">
        <x:v>Offer premium, equity purchase price and enterprise-value bridge.</x:v>
      </x:c>
      <x:c r="B2" s="16"/>
      <x:c r="C2" s="16"/>
      <x:c r="D2" s="16"/>
      <x:c r="E2" s="16"/>
      <x:c r="F2" s="16"/>
      <x:c r="G2" s="4"/>
      <x:c r="H2" s="4"/>
      <x:c r="I2" s="4"/>
      <x:c r="J2" s="4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Purchase Price</x:v>
      </x:c>
      <x:c r="B4" s="22"/>
      <x:c r="C4" s="22"/>
      <x:c r="D4" s="22"/>
      <x:c r="E4" s="22"/>
      <x:c r="F4" s="22"/>
      <x:c r="G4" s="4"/>
      <x:c r="H4" s="4"/>
      <x:c r="I4" s="4"/>
      <x:c r="J4" s="4"/>
      <x:c r="K4" s="4"/>
      <x:c r="L4" s="4"/>
      <x:c r="M4" s="4"/>
      <x:c r="N4" s="4"/>
    </x:row>
    <x:row r="5">
      <x:c r="A5" s="4" t="str">
        <x:v>Unaffected Target Share Price</x:v>
      </x:c>
      <x:c r="B5" s="46" t="str">
        <x:f>'01_Transaction_Assumptions'!E7</x:f>
        <x:v>20.00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>
      <x:c r="A6" s="4" t="str">
        <x:v>Offer Price / Share</x:v>
      </x:c>
      <x:c r="B6" s="46" t="n">
        <x:f>'01_Transaction_Assumptions'!H5</x:f>
        <x:v>25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</x:row>
    <x:row r="7">
      <x:c r="A7" s="4" t="str">
        <x:v>Offer Premium</x:v>
      </x:c>
      <x:c r="B7" s="48" t="n">
        <x:f>(B6-B5)/ABS(B5)</x:f>
        <x:v>0.25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</x:row>
    <x:row r="8">
      <x:c r="A8" s="4" t="str">
        <x:v>Target Shares Outstanding (m)</x:v>
      </x:c>
      <x:c r="B8" s="50" t="n">
        <x:f>'01_Transaction_Assumptions'!E8</x:f>
        <x:v>100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</x:row>
    <x:row r="9">
      <x:c r="A9" s="58" t="str">
        <x:v>Equity Purchase Price (£m)</x:v>
      </x:c>
      <x:c r="B9" s="59" t="n">
        <x:f>B6*B8</x:f>
        <x:v>2500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>
      <x:c r="A10" s="4" t="str">
        <x:v>Target Debt (£m)</x:v>
      </x:c>
      <x:c r="B10" s="50" t="n">
        <x:f>'01_Transaction_Assumptions'!E12</x:f>
        <x:v>500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4" t="str">
        <x:v>Less: Target Cash (£m)</x:v>
      </x:c>
      <x:c r="B11" s="50" t="n">
        <x:f>-'01_Transaction_Assumptions'!E13</x:f>
        <x:v>-200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>
      <x:c r="A12" s="58" t="str">
        <x:v>Target Enterprise Value (£m)</x:v>
      </x:c>
      <x:c r="B12" s="59" t="n">
        <x:f>SUM(B9:B11)</x:f>
        <x:v>2800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 ht="18" customHeight="1">
      <x:c r="A15" s="22" t="str">
        <x:v>Implied Transaction Multiples</x:v>
      </x:c>
      <x:c r="B15" s="22"/>
      <x:c r="C15" s="22"/>
      <x:c r="D15" s="22"/>
      <x:c r="E15" s="22"/>
      <x:c r="F15" s="22"/>
      <x:c r="G15" s="4"/>
      <x:c r="H15" s="4"/>
      <x:c r="I15" s="4"/>
      <x:c r="J15" s="4"/>
      <x:c r="K15" s="4"/>
      <x:c r="L15" s="4"/>
      <x:c r="M15" s="4"/>
      <x:c r="N15" s="4"/>
    </x:row>
    <x:row r="16">
      <x:c r="A16" s="4" t="str">
        <x:v>Target LTM Revenue (£m)</x:v>
      </x:c>
      <x:c r="B16" s="50" t="n">
        <x:f>'01_Transaction_Assumptions'!E10</x:f>
        <x:v>1500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4" t="str">
        <x:v>Target LTM EBITDA (£m)</x:v>
      </x:c>
      <x:c r="B17" s="50" t="n">
        <x:f>'01_Transaction_Assumptions'!E11</x:f>
        <x:v>250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 t="str">
        <x:v>EV / Revenue</x:v>
      </x:c>
      <x:c r="B18" s="62" t="n">
        <x:f>B12/B16</x:f>
        <x:v>1.8666666666666667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 t="str">
        <x:v>EV / EBITDA</x:v>
      </x:c>
      <x:c r="B19" s="62" t="n">
        <x:f>B12/B17</x:f>
        <x:v>11.2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F1"/>
    <x:mergeCell ref="A2:F2"/>
    <x:mergeCell ref="A4:F4"/>
    <x:mergeCell ref="A15:F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" hidden="0" customWidth="1"/>
    <x:col min="4" max="4" width="30" hidden="0" customWidth="1"/>
    <x:col min="5" max="5" width="18" hidden="0" customWidth="1"/>
    <x:col min="6" max="6" width="5" hidden="0" customWidth="1"/>
    <x:col min="7" max="7" width="28" hidden="0" customWidth="1"/>
    <x:col min="8" max="8" width="18" hidden="0" customWidth="1"/>
  </x:cols>
  <x:sheetData>
    <x:row r="1" ht="24" customHeight="1">
      <x:c r="A1" s="9" t="str">
        <x:v>Sources &amp; Uses</x:v>
      </x:c>
      <x:c r="B1" s="9"/>
      <x:c r="C1" s="9"/>
      <x:c r="D1" s="9"/>
      <x:c r="E1" s="9"/>
      <x:c r="F1" s="9"/>
      <x:c r="G1" s="9"/>
      <x:c r="H1" s="9"/>
      <x:c r="I1" s="4"/>
      <x:c r="J1" s="4"/>
      <x:c r="K1" s="4"/>
      <x:c r="L1" s="4"/>
      <x:c r="M1" s="4"/>
      <x:c r="N1" s="4"/>
    </x:row>
    <x:row r="2">
      <x:c r="A2" s="16" t="str">
        <x:v>Consideration funding mechanics and enterprise-value bridge.</x:v>
      </x:c>
      <x:c r="B2" s="16"/>
      <x:c r="C2" s="16"/>
      <x:c r="D2" s="16"/>
      <x:c r="E2" s="16"/>
      <x:c r="F2" s="16"/>
      <x:c r="G2" s="16"/>
      <x:c r="H2" s="16"/>
      <x:c r="I2" s="4"/>
      <x:c r="J2" s="4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Sources of Equity Consideration</x:v>
      </x:c>
      <x:c r="B4" s="22"/>
      <x:c r="C4" s="4"/>
      <x:c r="D4" s="20" t="str">
        <x:v>Uses</x:v>
      </x:c>
      <x:c r="E4" s="20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4" t="str">
        <x:v>Cash on Hand</x:v>
      </x:c>
      <x:c r="B5" s="50" t="n">
        <x:f>'01_Transaction_Assumptions'!H8</x:f>
        <x:v>500</x:v>
      </x:c>
      <x:c r="C5" s="4"/>
      <x:c r="D5" s="4" t="str">
        <x:v>Target Equity Purchase Price</x:v>
      </x:c>
      <x:c r="E5" s="50" t="n">
        <x:f>'02_Purchase_Price'!B9</x:f>
        <x:v>2500</x:v>
      </x:c>
      <x:c r="F5" s="4"/>
      <x:c r="G5" s="4" t="str">
        <x:v>Source</x:v>
      </x:c>
      <x:c r="H5" s="4" t="str">
        <x:v>£m</x:v>
      </x:c>
      <x:c r="I5" s="4"/>
      <x:c r="J5" s="4"/>
      <x:c r="K5" s="4"/>
      <x:c r="L5" s="4"/>
      <x:c r="M5" s="4"/>
      <x:c r="N5" s="4"/>
    </x:row>
    <x:row r="6">
      <x:c r="A6" s="4" t="str">
        <x:v>New Debt Raised</x:v>
      </x:c>
      <x:c r="B6" s="50" t="n">
        <x:f>'02_Purchase_Price'!B9*'01_Transaction_Assumptions'!H6-'01_Transaction_Assumptions'!H8</x:f>
        <x:v>750</x:v>
      </x:c>
      <x:c r="C6" s="4"/>
      <x:c r="D6" s="4"/>
      <x:c r="E6" s="4"/>
      <x:c r="F6" s="4"/>
      <x:c r="G6" s="4" t="str">
        <x:v>Cash</x:v>
      </x:c>
      <x:c r="H6" s="50" t="n">
        <x:f>'01_Transaction_Assumptions'!H8</x:f>
        <x:v>500</x:v>
      </x:c>
      <x:c r="I6" s="4"/>
      <x:c r="J6" s="4"/>
      <x:c r="K6" s="4"/>
      <x:c r="L6" s="4"/>
      <x:c r="M6" s="4"/>
      <x:c r="N6" s="4"/>
    </x:row>
    <x:row r="7">
      <x:c r="A7" s="4" t="str">
        <x:v>Stock Consideration</x:v>
      </x:c>
      <x:c r="B7" s="50" t="n">
        <x:f>'02_Purchase_Price'!B9*'01_Transaction_Assumptions'!H7</x:f>
        <x:v>1250</x:v>
      </x:c>
      <x:c r="C7" s="4"/>
      <x:c r="D7" s="4"/>
      <x:c r="E7" s="4"/>
      <x:c r="F7" s="4"/>
      <x:c r="G7" s="4" t="str">
        <x:v>Stock</x:v>
      </x:c>
      <x:c r="H7" s="50" t="n">
        <x:f>'02_Purchase_Price'!B9*'01_Transaction_Assumptions'!H7</x:f>
        <x:v>1250</x:v>
      </x:c>
      <x:c r="I7" s="4"/>
      <x:c r="J7" s="4"/>
      <x:c r="K7" s="4"/>
      <x:c r="L7" s="4"/>
      <x:c r="M7" s="4"/>
      <x:c r="N7" s="4"/>
    </x:row>
    <x:row r="8">
      <x:c r="A8" s="58" t="str">
        <x:v>Total Sources</x:v>
      </x:c>
      <x:c r="B8" s="59" t="n">
        <x:f>SUM(B5:B7)</x:f>
        <x:v>2500</x:v>
      </x:c>
      <x:c r="C8" s="4"/>
      <x:c r="D8" s="58" t="str">
        <x:v>Total Uses</x:v>
      </x:c>
      <x:c r="E8" s="59" t="n">
        <x:f>SUM(E5:E7)</x:f>
        <x:v>2500</x:v>
      </x:c>
      <x:c r="F8" s="4"/>
      <x:c r="G8" s="4"/>
      <x:c r="H8" s="4"/>
      <x:c r="I8" s="4"/>
      <x:c r="J8" s="4"/>
      <x:c r="K8" s="4"/>
      <x:c r="L8" s="4"/>
      <x:c r="M8" s="4"/>
      <x:c r="N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 ht="18" customHeight="1">
      <x:c r="A12" s="22" t="str">
        <x:v>Enterprise Value Bridge</x:v>
      </x:c>
      <x:c r="B12" s="22"/>
      <x:c r="C12" s="22"/>
      <x:c r="D12" s="22"/>
      <x:c r="E12" s="22"/>
      <x:c r="F12" s="22"/>
      <x:c r="G12" s="22"/>
      <x:c r="H12" s="22"/>
      <x:c r="I12" s="4"/>
      <x:c r="J12" s="4"/>
      <x:c r="K12" s="4"/>
      <x:c r="L12" s="4"/>
      <x:c r="M12" s="4"/>
      <x:c r="N12" s="4"/>
    </x:row>
    <x:row r="13">
      <x:c r="A13" s="4" t="str">
        <x:v>Equity Purchase Price</x:v>
      </x:c>
      <x:c r="B13" s="50" t="n">
        <x:f>'02_Purchase_Price'!B9</x:f>
        <x:v>2500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 t="str">
        <x:v>Add: Target Debt</x:v>
      </x:c>
      <x:c r="B14" s="50" t="n">
        <x:f>'01_Transaction_Assumptions'!E12</x:f>
        <x:v>500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 t="str">
        <x:v>Less: Target Cash</x:v>
      </x:c>
      <x:c r="B15" s="50" t="n">
        <x:f>-'01_Transaction_Assumptions'!E13</x:f>
        <x:v>-200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58" t="str">
        <x:v>Enterprise Value</x:v>
      </x:c>
      <x:c r="B16" s="59" t="n">
        <x:f>SUM(B13:B15)</x:f>
        <x:v>2800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H1"/>
    <x:mergeCell ref="A2:H2"/>
    <x:mergeCell ref="A4:B4"/>
    <x:mergeCell ref="D4:E4"/>
    <x:mergeCell ref="A12:H12"/>
  </x:mergeCells>
  <x:pageMargins left="0.7" right="0.7" top="0.75" bottom="0.75" header="0.3" footer="0.3"/>
  <x:drawing xmlns:r="http://schemas.openxmlformats.org/officeDocument/2006/relationships" r:id="Rc930642fc93347d7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5" hidden="0" customWidth="1"/>
    <x:col min="4" max="4" width="28" hidden="0" customWidth="1"/>
    <x:col min="5" max="5" width="18" hidden="0" customWidth="1"/>
    <x:col min="6" max="6" width="5" hidden="0" customWidth="1"/>
    <x:col min="7" max="7" width="18" hidden="0" customWidth="1"/>
  </x:cols>
  <x:sheetData>
    <x:row r="1" ht="24" customHeight="1">
      <x:c r="A1" s="9" t="str">
        <x:v>Purchase Accounting</x:v>
      </x:c>
      <x:c r="B1" s="9"/>
      <x:c r="C1" s="9"/>
      <x:c r="D1" s="9"/>
      <x:c r="E1" s="9"/>
      <x:c r="F1" s="9"/>
      <x:c r="G1" s="9"/>
      <x:c r="H1" s="4"/>
      <x:c r="I1" s="4"/>
      <x:c r="J1" s="4"/>
      <x:c r="K1" s="4"/>
      <x:c r="L1" s="4"/>
      <x:c r="M1" s="4"/>
      <x:c r="N1" s="4"/>
    </x:row>
    <x:row r="2">
      <x:c r="A2" s="16" t="str">
        <x:v>Simplified allocation of equity purchase price to book equity, intangibles and goodwill.</x:v>
      </x:c>
      <x:c r="B2" s="16"/>
      <x:c r="C2" s="16"/>
      <x:c r="D2" s="16"/>
      <x:c r="E2" s="16"/>
      <x:c r="F2" s="16"/>
      <x:c r="G2" s="16"/>
      <x:c r="H2" s="4"/>
      <x:c r="I2" s="4"/>
      <x:c r="J2" s="4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Purchase Price Allocation</x:v>
      </x:c>
      <x:c r="B4" s="22"/>
      <x:c r="C4" s="22"/>
      <x:c r="D4" s="22"/>
      <x:c r="E4" s="22"/>
      <x:c r="F4" s="22"/>
      <x:c r="G4" s="22"/>
      <x:c r="H4" s="4"/>
      <x:c r="I4" s="4"/>
      <x:c r="J4" s="4"/>
      <x:c r="K4" s="4"/>
      <x:c r="L4" s="4"/>
      <x:c r="M4" s="4"/>
      <x:c r="N4" s="4"/>
    </x:row>
    <x:row r="5">
      <x:c r="A5" s="4" t="str">
        <x:v>Equity Purchase Price (£m)</x:v>
      </x:c>
      <x:c r="B5" s="50" t="n">
        <x:f>'02_Purchase_Price'!B9</x:f>
        <x:v>2500</x:v>
      </x:c>
      <x:c r="C5" s="4"/>
      <x:c r="D5" s="4" t="str">
        <x:v>Allocation Component</x:v>
      </x:c>
      <x:c r="E5" s="4" t="str">
        <x:v>£m</x:v>
      </x:c>
      <x:c r="F5" s="4"/>
      <x:c r="G5" s="4"/>
      <x:c r="H5" s="4"/>
      <x:c r="I5" s="4"/>
      <x:c r="J5" s="4"/>
      <x:c r="K5" s="4"/>
      <x:c r="L5" s="4"/>
      <x:c r="M5" s="4"/>
      <x:c r="N5" s="4"/>
    </x:row>
    <x:row r="6">
      <x:c r="A6" s="4" t="str">
        <x:v>Less: Target Book Equity (£m)</x:v>
      </x:c>
      <x:c r="B6" s="50" t="n">
        <x:f>-'01_Transaction_Assumptions'!E14</x:f>
        <x:v>-900</x:v>
      </x:c>
      <x:c r="C6" s="4"/>
      <x:c r="D6" s="4" t="str">
        <x:v>Book Equity</x:v>
      </x:c>
      <x:c r="E6" s="50" t="n">
        <x:f>'01_Transaction_Assumptions'!E14</x:f>
        <x:v>900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>
      <x:c r="A7" s="4" t="str">
        <x:v>Less: Identifiable Intangible Write-Up (£m)</x:v>
      </x:c>
      <x:c r="B7" s="50" t="n">
        <x:f>-'01_Transaction_Assumptions'!H13</x:f>
        <x:v>-300</x:v>
      </x:c>
      <x:c r="C7" s="4"/>
      <x:c r="D7" s="4" t="str">
        <x:v>Intangible Write-Up</x:v>
      </x:c>
      <x:c r="E7" s="50" t="n">
        <x:f>'01_Transaction_Assumptions'!H13</x:f>
        <x:v>300</x:v>
      </x:c>
      <x:c r="F7" s="4"/>
      <x:c r="G7" s="4"/>
      <x:c r="H7" s="4"/>
      <x:c r="I7" s="4"/>
      <x:c r="J7" s="4"/>
      <x:c r="K7" s="4"/>
      <x:c r="L7" s="4"/>
      <x:c r="M7" s="4"/>
      <x:c r="N7" s="4"/>
    </x:row>
    <x:row r="8">
      <x:c r="A8" s="58" t="str">
        <x:v>Goodwill Created (£m)</x:v>
      </x:c>
      <x:c r="B8" s="59" t="n">
        <x:f>SUM(B5:B7)</x:f>
        <x:v>1300</x:v>
      </x:c>
      <x:c r="C8" s="4"/>
      <x:c r="D8" s="4" t="str">
        <x:v>Goodwill</x:v>
      </x:c>
      <x:c r="E8" s="52" t="n">
        <x:f>B8</x:f>
        <x:v>1300</x:v>
      </x:c>
      <x:c r="F8" s="4"/>
      <x:c r="G8" s="4"/>
      <x:c r="H8" s="4"/>
      <x:c r="I8" s="4"/>
      <x:c r="J8" s="4"/>
      <x:c r="K8" s="4"/>
      <x:c r="L8" s="4"/>
      <x:c r="M8" s="4"/>
      <x:c r="N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>
      <x:c r="A10" s="4" t="str">
        <x:v>Amortization Period (Years)</x:v>
      </x:c>
      <x:c r="B10" s="64" t="n">
        <x:f>'01_Transaction_Assumptions'!H14</x:f>
        <x:v>10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58" t="str">
        <x:v>Annual Incremental Amortization (£m)</x:v>
      </x:c>
      <x:c r="B11" s="59" t="n">
        <x:f>'01_Transaction_Assumptions'!H13/B10</x:f>
        <x:v>30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G1"/>
    <x:mergeCell ref="A2:G2"/>
    <x:mergeCell ref="A4:G4"/>
  </x:mergeCells>
  <x:pageMargins left="0.7" right="0.7" top="0.75" bottom="0.75" header="0.3" footer="0.3"/>
  <x:drawing xmlns:r="http://schemas.openxmlformats.org/officeDocument/2006/relationships" r:id="Ref5a8f82c3c4416a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5" hidden="0" customWidth="1"/>
    <x:col min="4" max="4" width="30" hidden="0" customWidth="1"/>
    <x:col min="5" max="5" width="18" hidden="0" customWidth="1"/>
    <x:col min="6" max="6" width="5" hidden="0" customWidth="1"/>
    <x:col min="7" max="7" width="26" hidden="0" customWidth="1"/>
    <x:col min="8" max="8" width="18" hidden="0" customWidth="1"/>
  </x:cols>
  <x:sheetData>
    <x:row r="1" ht="24" customHeight="1">
      <x:c r="A1" s="9" t="str">
        <x:v>Accretion / Dilution</x:v>
      </x:c>
      <x:c r="B1" s="9"/>
      <x:c r="C1" s="9"/>
      <x:c r="D1" s="9"/>
      <x:c r="E1" s="9"/>
      <x:c r="F1" s="9"/>
      <x:c r="G1" s="9"/>
      <x:c r="H1" s="9"/>
      <x:c r="I1" s="4"/>
      <x:c r="J1" s="4"/>
      <x:c r="K1" s="4"/>
      <x:c r="L1" s="4"/>
      <x:c r="M1" s="4"/>
      <x:c r="N1" s="4"/>
    </x:row>
    <x:row r="2">
      <x:c r="A2" s="16" t="str">
        <x:v>Pro forma earnings bridge and EPS impact.</x:v>
      </x:c>
      <x:c r="B2" s="16"/>
      <x:c r="C2" s="16"/>
      <x:c r="D2" s="16"/>
      <x:c r="E2" s="16"/>
      <x:c r="F2" s="16"/>
      <x:c r="G2" s="16"/>
      <x:c r="H2" s="16"/>
      <x:c r="I2" s="4"/>
      <x:c r="J2" s="4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Pro Forma Net Income Bridge</x:v>
      </x:c>
      <x:c r="B4" s="22"/>
      <x:c r="C4" s="22"/>
      <x:c r="D4" s="22"/>
      <x:c r="E4" s="22"/>
      <x:c r="F4" s="22"/>
      <x:c r="G4" s="22"/>
      <x:c r="H4" s="22"/>
      <x:c r="I4" s="4"/>
      <x:c r="J4" s="4"/>
      <x:c r="K4" s="4"/>
      <x:c r="L4" s="4"/>
      <x:c r="M4" s="4"/>
      <x:c r="N4" s="4"/>
    </x:row>
    <x:row r="5">
      <x:c r="A5" s="4" t="str">
        <x:v>Acquirer Net Income (£m)</x:v>
      </x:c>
      <x:c r="B5" s="50" t="n">
        <x:f>'01_Transaction_Assumptions'!B10</x:f>
        <x:v>600</x:v>
      </x:c>
      <x:c r="C5" s="4"/>
      <x:c r="D5" s="4" t="str">
        <x:v>Earnings Bridge</x:v>
      </x:c>
      <x:c r="E5" s="4" t="str">
        <x:v>£m</x:v>
      </x:c>
      <x:c r="F5" s="4"/>
      <x:c r="G5" s="4"/>
      <x:c r="H5" s="4"/>
      <x:c r="I5" s="4"/>
      <x:c r="J5" s="4"/>
      <x:c r="K5" s="4"/>
      <x:c r="L5" s="4"/>
      <x:c r="M5" s="4"/>
      <x:c r="N5" s="4"/>
    </x:row>
    <x:row r="6">
      <x:c r="A6" s="4" t="str">
        <x:v>Target Net Income (£m)</x:v>
      </x:c>
      <x:c r="B6" s="50" t="n">
        <x:f>'01_Transaction_Assumptions'!E9</x:f>
        <x:v>120</x:v>
      </x:c>
      <x:c r="C6" s="4"/>
      <x:c r="D6" s="4" t="str">
        <x:v>Target NI</x:v>
      </x:c>
      <x:c r="E6" s="4" t="n">
        <x:f>'01_Transaction_Assumptions'!E9</x:f>
        <x:v>120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>
      <x:c r="A7" s="4" t="str">
        <x:v>After-Tax Synergies (£m)</x:v>
      </x:c>
      <x:c r="B7" s="50" t="n">
        <x:f>'01_Transaction_Assumptions'!H12*(1-'01_Transaction_Assumptions'!H11)</x:f>
        <x:v>75</x:v>
      </x:c>
      <x:c r="C7" s="4"/>
      <x:c r="D7" s="4" t="str">
        <x:v>Synergies</x:v>
      </x:c>
      <x:c r="E7" s="4" t="n">
        <x:f>B7</x:f>
        <x:v>75</x:v>
      </x:c>
      <x:c r="F7" s="4"/>
      <x:c r="G7" s="4"/>
      <x:c r="H7" s="4"/>
      <x:c r="I7" s="4"/>
      <x:c r="J7" s="4"/>
      <x:c r="K7" s="4"/>
      <x:c r="L7" s="4"/>
      <x:c r="M7" s="4"/>
      <x:c r="N7" s="4"/>
    </x:row>
    <x:row r="8">
      <x:c r="A8" s="4" t="str">
        <x:v>Less: After-Tax New Debt Interest (£m)</x:v>
      </x:c>
      <x:c r="B8" s="50" t="n">
        <x:f>-('03_Sources_Uses'!B6*'01_Transaction_Assumptions'!H9*(1-'01_Transaction_Assumptions'!H11))</x:f>
        <x:v>-30.9375</x:v>
      </x:c>
      <x:c r="C8" s="4"/>
      <x:c r="D8" s="4" t="str">
        <x:v>Debt Interest</x:v>
      </x:c>
      <x:c r="E8" s="4" t="n">
        <x:f>B8</x:f>
        <x:v>-30.9375</x:v>
      </x:c>
      <x:c r="F8" s="4"/>
      <x:c r="G8" s="4"/>
      <x:c r="H8" s="4"/>
      <x:c r="I8" s="4"/>
      <x:c r="J8" s="4"/>
      <x:c r="K8" s="4"/>
      <x:c r="L8" s="4"/>
      <x:c r="M8" s="4"/>
      <x:c r="N8" s="4"/>
    </x:row>
    <x:row r="9">
      <x:c r="A9" s="4" t="str">
        <x:v>Less: After-Tax Foregone Cash Interest (£m)</x:v>
      </x:c>
      <x:c r="B9" s="50" t="n">
        <x:f>-('01_Transaction_Assumptions'!H8*'01_Transaction_Assumptions'!H10*(1-'01_Transaction_Assumptions'!H11))</x:f>
        <x:v>-7.5</x:v>
      </x:c>
      <x:c r="C9" s="4"/>
      <x:c r="D9" s="4" t="str">
        <x:v>Cash Interest</x:v>
      </x:c>
      <x:c r="E9" s="4" t="n">
        <x:f>B9</x:f>
        <x:v>-7.5</x:v>
      </x:c>
      <x:c r="F9" s="4"/>
      <x:c r="G9" s="4"/>
      <x:c r="H9" s="4"/>
      <x:c r="I9" s="4"/>
      <x:c r="J9" s="4"/>
      <x:c r="K9" s="4"/>
      <x:c r="L9" s="4"/>
      <x:c r="M9" s="4"/>
      <x:c r="N9" s="4"/>
    </x:row>
    <x:row r="10">
      <x:c r="A10" s="4" t="str">
        <x:v>Less: After-Tax Incremental Amortization (£m)</x:v>
      </x:c>
      <x:c r="B10" s="50" t="n">
        <x:f>-('04_Purchase_Accounting'!B11*(1-'01_Transaction_Assumptions'!H11))</x:f>
        <x:v>-22.5</x:v>
      </x:c>
      <x:c r="C10" s="4"/>
      <x:c r="D10" s="4" t="str">
        <x:v>Amortization</x:v>
      </x:c>
      <x:c r="E10" s="4" t="n">
        <x:f>B10</x:f>
        <x:v>-22.5</x:v>
      </x:c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58" t="str">
        <x:v>Pro Forma Net Income (£m)</x:v>
      </x:c>
      <x:c r="B11" s="59" t="n">
        <x:f>SUM(B5:B10)</x:f>
        <x:v>734.0625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 ht="18" customHeight="1">
      <x:c r="A14" s="22" t="str">
        <x:v>Share Count &amp; EPS</x:v>
      </x:c>
      <x:c r="B14" s="22"/>
      <x:c r="C14" s="22"/>
      <x:c r="D14" s="22"/>
      <x:c r="E14" s="22"/>
      <x:c r="F14" s="22"/>
      <x:c r="G14" s="22"/>
      <x:c r="H14" s="22"/>
      <x:c r="I14" s="4"/>
      <x:c r="J14" s="4"/>
      <x:c r="K14" s="4"/>
      <x:c r="L14" s="4"/>
      <x:c r="M14" s="4"/>
      <x:c r="N14" s="4"/>
    </x:row>
    <x:row r="15">
      <x:c r="A15" s="4" t="str">
        <x:v>Acquirer Shares Outstanding (m)</x:v>
      </x:c>
      <x:c r="B15" s="50" t="n">
        <x:f>'01_Transaction_Assumptions'!B9</x:f>
        <x:v>250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 t="str">
        <x:v>New Shares Issued (m)</x:v>
      </x:c>
      <x:c r="B16" s="50" t="n">
        <x:f>'03_Sources_Uses'!B7/'01_Transaction_Assumptions'!B8</x:f>
        <x:v>31.25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54" t="str">
        <x:v>Pro Forma Shares Outstanding (m)</x:v>
      </x:c>
      <x:c r="B17" s="55" t="n">
        <x:f>SUM(B15:B16)</x:f>
        <x:v>281.25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 t="str">
        <x:v>Acquirer Standalone EPS</x:v>
      </x:c>
      <x:c r="B18" s="46" t="n">
        <x:f>'01_Transaction_Assumptions'!B10/'01_Transaction_Assumptions'!B9</x:f>
        <x:v>2.4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 t="str">
        <x:v>Pro Forma EPS</x:v>
      </x:c>
      <x:c r="B19" s="66" t="n">
        <x:f>B11/B17</x:f>
        <x:v>2.61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54" t="str">
        <x:v>EPS Accretion / (Dilution)</x:v>
      </x:c>
      <x:c r="B20" s="68" t="n">
        <x:f>(B19-B18)/ABS(B18)</x:f>
        <x:v>0.0875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 t="str">
        <x:v>Classification</x:v>
      </x:c>
      <x:c r="B21" s="4" t="str">
        <x:f>IF(B20&gt;0.005,"ACCRETIVE",IF(B20&lt;-0.005,"DILUTIVE","NEUTRAL"))</x:f>
        <x:v>ACCRETIVE</x:v>
      </x:c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54" t="str">
        <x:v>Break-Even Pre-Tax Synergies (£m)</x:v>
      </x:c>
      <x:c r="B22" s="55" t="n">
        <x:f>MAX(0,((B18*B17)-'01_Transaction_Assumptions'!B10-'01_Transaction_Assumptions'!E9+ABS(B8)+ABS(B9)+ABS(B10))/(1-'01_Transaction_Assumptions'!H11))</x:f>
        <x:v>21.25</x:v>
      </x:c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H1"/>
    <x:mergeCell ref="A2:H2"/>
    <x:mergeCell ref="A4:H4"/>
    <x:mergeCell ref="A14:H14"/>
  </x:mergeCells>
  <x:conditionalFormatting sqref="B20:B20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a935d430e9344e9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5" hidden="0" customWidth="1"/>
    <x:col min="4" max="4" width="28" hidden="0" customWidth="1"/>
    <x:col min="5" max="5" width="18" hidden="0" customWidth="1"/>
    <x:col min="6" max="6" width="5" hidden="0" customWidth="1"/>
    <x:col min="7" max="7" width="18" hidden="0" customWidth="1"/>
  </x:cols>
  <x:sheetData>
    <x:row r="1" ht="24" customHeight="1">
      <x:c r="A1" s="9" t="str">
        <x:v>Pro Forma Ownership</x:v>
      </x:c>
      <x:c r="B1" s="9"/>
      <x:c r="C1" s="9"/>
      <x:c r="D1" s="9"/>
      <x:c r="E1" s="9"/>
      <x:c r="F1" s="9"/>
      <x:c r="G1" s="9"/>
      <x:c r="H1" s="4"/>
      <x:c r="I1" s="4"/>
      <x:c r="J1" s="4"/>
      <x:c r="K1" s="4"/>
      <x:c r="L1" s="4"/>
      <x:c r="M1" s="4"/>
      <x:c r="N1" s="4"/>
    </x:row>
    <x:row r="2">
      <x:c r="A2" s="16" t="str">
        <x:v>Share issuance, exchange ratio and ownership of the combined company.</x:v>
      </x:c>
      <x:c r="B2" s="16"/>
      <x:c r="C2" s="16"/>
      <x:c r="D2" s="16"/>
      <x:c r="E2" s="16"/>
      <x:c r="F2" s="16"/>
      <x:c r="G2" s="16"/>
      <x:c r="H2" s="4"/>
      <x:c r="I2" s="4"/>
      <x:c r="J2" s="4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Ownership Mechanics</x:v>
      </x:c>
      <x:c r="B4" s="22"/>
      <x:c r="C4" s="22"/>
      <x:c r="D4" s="22"/>
      <x:c r="E4" s="22"/>
      <x:c r="F4" s="22"/>
      <x:c r="G4" s="22"/>
      <x:c r="H4" s="4"/>
      <x:c r="I4" s="4"/>
      <x:c r="J4" s="4"/>
      <x:c r="K4" s="4"/>
      <x:c r="L4" s="4"/>
      <x:c r="M4" s="4"/>
      <x:c r="N4" s="4"/>
    </x:row>
    <x:row r="5">
      <x:c r="A5" s="4" t="str">
        <x:v>Stock Consideration (£m)</x:v>
      </x:c>
      <x:c r="B5" s="50" t="n">
        <x:f>'03_Sources_Uses'!B7</x:f>
        <x:v>1250</x:v>
      </x:c>
      <x:c r="C5" s="4"/>
      <x:c r="D5" s="4" t="str">
        <x:v>Holder</x:v>
      </x:c>
      <x:c r="E5" s="4" t="str">
        <x:v>Ownership</x:v>
      </x:c>
      <x:c r="F5" s="4"/>
      <x:c r="G5" s="4"/>
      <x:c r="H5" s="4"/>
      <x:c r="I5" s="4"/>
      <x:c r="J5" s="4"/>
      <x:c r="K5" s="4"/>
      <x:c r="L5" s="4"/>
      <x:c r="M5" s="4"/>
      <x:c r="N5" s="4"/>
    </x:row>
    <x:row r="6">
      <x:c r="A6" s="4" t="str">
        <x:v>Acquirer Share Price</x:v>
      </x:c>
      <x:c r="B6" s="46" t="str">
        <x:f>'01_Transaction_Assumptions'!B8</x:f>
        <x:v>40.00</x:v>
      </x:c>
      <x:c r="C6" s="4"/>
      <x:c r="D6" s="4" t="str">
        <x:v>Existing Acquirer</x:v>
      </x:c>
      <x:c r="E6" s="48" t="n">
        <x:f>B11</x:f>
        <x:v>0.8888888888888888</x:v>
      </x:c>
      <x:c r="F6" s="4"/>
      <x:c r="G6" s="4"/>
      <x:c r="H6" s="4"/>
      <x:c r="I6" s="4"/>
      <x:c r="J6" s="4"/>
      <x:c r="K6" s="4"/>
      <x:c r="L6" s="4"/>
      <x:c r="M6" s="4"/>
      <x:c r="N6" s="4"/>
    </x:row>
    <x:row r="7">
      <x:c r="A7" s="4" t="str">
        <x:v>New Shares Issued (m)</x:v>
      </x:c>
      <x:c r="B7" s="52" t="n">
        <x:f>B5/B6</x:f>
        <x:v>31.25</x:v>
      </x:c>
      <x:c r="C7" s="4"/>
      <x:c r="D7" s="4" t="str">
        <x:v>Target Sellers</x:v>
      </x:c>
      <x:c r="E7" s="48" t="n">
        <x:f>B12</x:f>
        <x:v>0.1111111111111111</x:v>
      </x:c>
      <x:c r="F7" s="4"/>
      <x:c r="G7" s="4"/>
      <x:c r="H7" s="4"/>
      <x:c r="I7" s="4"/>
      <x:c r="J7" s="4"/>
      <x:c r="K7" s="4"/>
      <x:c r="L7" s="4"/>
      <x:c r="M7" s="4"/>
      <x:c r="N7" s="4"/>
    </x:row>
    <x:row r="8">
      <x:c r="A8" s="4" t="str">
        <x:v>Exchange Ratio</x:v>
      </x:c>
      <x:c r="B8" s="62" t="n">
        <x:f>('01_Transaction_Assumptions'!H5*'01_Transaction_Assumptions'!H7)/'01_Transaction_Assumptions'!B8</x:f>
        <x:v>0.3125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</x:row>
    <x:row r="9">
      <x:c r="A9" s="4" t="str">
        <x:v>Acquirer Existing Shares (m)</x:v>
      </x:c>
      <x:c r="B9" s="50" t="n">
        <x:f>'01_Transaction_Assumptions'!B9</x:f>
        <x:v>250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>
      <x:c r="A10" s="4" t="str">
        <x:v>Pro Forma Shares (m)</x:v>
      </x:c>
      <x:c r="B10" s="52" t="n">
        <x:f>SUM(B7,B9)</x:f>
        <x:v>281.25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4" t="str">
        <x:v>Existing Acquirer Ownership</x:v>
      </x:c>
      <x:c r="B11" s="48" t="n">
        <x:f>B9/B10</x:f>
        <x:v>0.8888888888888888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>
      <x:c r="A12" s="4" t="str">
        <x:v>Target Seller Ownership</x:v>
      </x:c>
      <x:c r="B12" s="48" t="n">
        <x:f>B7/B10</x:f>
        <x:v>0.1111111111111111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G1"/>
    <x:mergeCell ref="A2:G2"/>
    <x:mergeCell ref="A4:G4"/>
  </x:mergeCells>
  <x:pageMargins left="0.7" right="0.7" top="0.75" bottom="0.75" header="0.3" footer="0.3"/>
  <x:drawing xmlns:r="http://schemas.openxmlformats.org/officeDocument/2006/relationships" r:id="Rb9f9c17ef1bf4d57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</x:cols>
  <x:sheetData>
    <x:row r="1" ht="24" customHeight="1">
      <x:c r="A1" s="9" t="str">
        <x:v>EPS Accretion / (Dilution) Sensitivity</x:v>
      </x:c>
      <x:c r="B1" s="9"/>
      <x:c r="C1" s="9"/>
      <x:c r="D1" s="9"/>
      <x:c r="E1" s="9"/>
      <x:c r="F1" s="9"/>
      <x:c r="G1" s="9"/>
      <x:c r="H1" s="9"/>
      <x:c r="I1" s="9"/>
      <x:c r="J1" s="9"/>
      <x:c r="K1" s="4"/>
      <x:c r="L1" s="4"/>
      <x:c r="M1" s="4"/>
      <x:c r="N1" s="4"/>
    </x:row>
    <x:row r="2">
      <x:c r="A2" s="16" t="str">
        <x:v>Offer price versus annual pre-tax synergies. All other assumptions held constant.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Offer Price / Synergy Sensitivity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4"/>
      <x:c r="L4" s="4"/>
      <x:c r="M4" s="4"/>
      <x:c r="N4" s="4"/>
    </x:row>
    <x:row r="5">
      <x:c r="A5" s="4" t="str">
        <x:v>Offer Price / Synergies (£m)</x:v>
      </x:c>
      <x:c r="B5" s="34" t="n">
        <x:v>0</x:v>
      </x:c>
      <x:c r="C5" s="34" t="n">
        <x:v>25</x:v>
      </x:c>
      <x:c r="D5" s="34" t="n">
        <x:v>50</x:v>
      </x:c>
      <x:c r="E5" s="34" t="n">
        <x:v>75</x:v>
      </x:c>
      <x:c r="F5" s="34" t="n">
        <x:v>100</x:v>
      </x:c>
      <x:c r="G5" s="34" t="n">
        <x:v>125</x:v>
      </x:c>
      <x:c r="H5" s="34" t="n">
        <x:v>150</x:v>
      </x:c>
      <x:c r="I5" s="4"/>
      <x:c r="J5" s="4"/>
      <x:c r="K5" s="4"/>
      <x:c r="L5" s="4"/>
      <x:c r="M5" s="4"/>
      <x:c r="N5" s="4"/>
    </x:row>
    <x:row r="6">
      <x:c r="A6" s="28" t="n">
        <x:v>22.5</x:v>
      </x:c>
      <x:c r="B6" s="48" t="n">
        <x:f>((('01_Transaction_Assumptions'!B10+'01_Transaction_Assumptions'!E9+B$5*(1-'01_Transaction_Assumptions'!H11)-((($A6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6*'01_Transaction_Assumptions'!E8*'01_Transaction_Assumptions'!H7)/'01_Transaction_Assumptions'!B8)))-('01_Transaction_Assumptions'!B10/'01_Transaction_Assumptions'!B9))/ABS('01_Transaction_Assumptions'!B10/'01_Transaction_Assumptions'!B9)</x:f>
        <x:v>-0.004915730337078558</x:v>
      </x:c>
      <x:c r="C6" s="48" t="n">
        <x:f>((('01_Transaction_Assumptions'!B10+'01_Transaction_Assumptions'!E9+C$5*(1-'01_Transaction_Assumptions'!H11)-((($A6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6*'01_Transaction_Assumptions'!E8*'01_Transaction_Assumptions'!H7)/'01_Transaction_Assumptions'!B8)))-('01_Transaction_Assumptions'!B10/'01_Transaction_Assumptions'!B9))/ABS('01_Transaction_Assumptions'!B10/'01_Transaction_Assumptions'!B9)</x:f>
        <x:v>0.023174157303370767</x:v>
      </x:c>
      <x:c r="D6" s="48" t="n">
        <x:f>((('01_Transaction_Assumptions'!B10+'01_Transaction_Assumptions'!E9+D$5*(1-'01_Transaction_Assumptions'!H11)-((($A6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6*'01_Transaction_Assumptions'!E8*'01_Transaction_Assumptions'!H7)/'01_Transaction_Assumptions'!B8)))-('01_Transaction_Assumptions'!B10/'01_Transaction_Assumptions'!B9))/ABS('01_Transaction_Assumptions'!B10/'01_Transaction_Assumptions'!B9)</x:f>
        <x:v>0.051264044943820274</x:v>
      </x:c>
      <x:c r="E6" s="48" t="n">
        <x:f>((('01_Transaction_Assumptions'!B10+'01_Transaction_Assumptions'!E9+E$5*(1-'01_Transaction_Assumptions'!H11)-((($A6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6*'01_Transaction_Assumptions'!E8*'01_Transaction_Assumptions'!H7)/'01_Transaction_Assumptions'!B8)))-('01_Transaction_Assumptions'!B10/'01_Transaction_Assumptions'!B9))/ABS('01_Transaction_Assumptions'!B10/'01_Transaction_Assumptions'!B9)</x:f>
        <x:v>0.07935393258426979</x:v>
      </x:c>
      <x:c r="F6" s="48" t="n">
        <x:f>((('01_Transaction_Assumptions'!B10+'01_Transaction_Assumptions'!E9+F$5*(1-'01_Transaction_Assumptions'!H11)-((($A6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6*'01_Transaction_Assumptions'!E8*'01_Transaction_Assumptions'!H7)/'01_Transaction_Assumptions'!B8)))-('01_Transaction_Assumptions'!B10/'01_Transaction_Assumptions'!B9))/ABS('01_Transaction_Assumptions'!B10/'01_Transaction_Assumptions'!B9)</x:f>
        <x:v>0.1074438202247191</x:v>
      </x:c>
      <x:c r="G6" s="48" t="n">
        <x:f>((('01_Transaction_Assumptions'!B10+'01_Transaction_Assumptions'!E9+G$5*(1-'01_Transaction_Assumptions'!H11)-((($A6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6*'01_Transaction_Assumptions'!E8*'01_Transaction_Assumptions'!H7)/'01_Transaction_Assumptions'!B8)))-('01_Transaction_Assumptions'!B10/'01_Transaction_Assumptions'!B9))/ABS('01_Transaction_Assumptions'!B10/'01_Transaction_Assumptions'!B9)</x:f>
        <x:v>0.1355337078651686</x:v>
      </x:c>
      <x:c r="H6" s="48" t="n">
        <x:f>((('01_Transaction_Assumptions'!B10+'01_Transaction_Assumptions'!E9+H$5*(1-'01_Transaction_Assumptions'!H11)-((($A6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6*'01_Transaction_Assumptions'!E8*'01_Transaction_Assumptions'!H7)/'01_Transaction_Assumptions'!B8)))-('01_Transaction_Assumptions'!B10/'01_Transaction_Assumptions'!B9))/ABS('01_Transaction_Assumptions'!B10/'01_Transaction_Assumptions'!B9)</x:f>
        <x:v>0.16362359550561795</x:v>
      </x:c>
      <x:c r="I6" s="4"/>
      <x:c r="J6" s="4"/>
      <x:c r="K6" s="4"/>
      <x:c r="L6" s="4"/>
      <x:c r="M6" s="4"/>
      <x:c r="N6" s="4"/>
    </x:row>
    <x:row r="7">
      <x:c r="A7" s="28" t="n">
        <x:v>23.5</x:v>
      </x:c>
      <x:c r="B7" s="48" t="n">
        <x:f>((('01_Transaction_Assumptions'!B10+'01_Transaction_Assumptions'!E9+B$5*(1-'01_Transaction_Assumptions'!H11)-((($A7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7*'01_Transaction_Assumptions'!E8*'01_Transaction_Assumptions'!H7)/'01_Transaction_Assumptions'!B8)))-('01_Transaction_Assumptions'!B10/'01_Transaction_Assumptions'!B9))/ABS('01_Transaction_Assumptions'!B10/'01_Transaction_Assumptions'!B9)</x:f>
        <x:v>-0.012444071588366875</x:v>
      </x:c>
      <x:c r="C7" s="48" t="n">
        <x:f>((('01_Transaction_Assumptions'!B10+'01_Transaction_Assumptions'!E9+C$5*(1-'01_Transaction_Assumptions'!H11)-((($A7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7*'01_Transaction_Assumptions'!E8*'01_Transaction_Assumptions'!H7)/'01_Transaction_Assumptions'!B8)))-('01_Transaction_Assumptions'!B10/'01_Transaction_Assumptions'!B9))/ABS('01_Transaction_Assumptions'!B10/'01_Transaction_Assumptions'!B9)</x:f>
        <x:v>0.015520134228187987</x:v>
      </x:c>
      <x:c r="D7" s="48" t="n">
        <x:f>((('01_Transaction_Assumptions'!B10+'01_Transaction_Assumptions'!E9+D$5*(1-'01_Transaction_Assumptions'!H11)-((($A7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7*'01_Transaction_Assumptions'!E8*'01_Transaction_Assumptions'!H7)/'01_Transaction_Assumptions'!B8)))-('01_Transaction_Assumptions'!B10/'01_Transaction_Assumptions'!B9))/ABS('01_Transaction_Assumptions'!B10/'01_Transaction_Assumptions'!B9)</x:f>
        <x:v>0.04348434004474285</x:v>
      </x:c>
      <x:c r="E7" s="48" t="n">
        <x:f>((('01_Transaction_Assumptions'!B10+'01_Transaction_Assumptions'!E9+E$5*(1-'01_Transaction_Assumptions'!H11)-((($A7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7*'01_Transaction_Assumptions'!E8*'01_Transaction_Assumptions'!H7)/'01_Transaction_Assumptions'!B8)))-('01_Transaction_Assumptions'!B10/'01_Transaction_Assumptions'!B9))/ABS('01_Transaction_Assumptions'!B10/'01_Transaction_Assumptions'!B9)</x:f>
        <x:v>0.07144854586129754</x:v>
      </x:c>
      <x:c r="F7" s="48" t="n">
        <x:f>((('01_Transaction_Assumptions'!B10+'01_Transaction_Assumptions'!E9+F$5*(1-'01_Transaction_Assumptions'!H11)-((($A7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7*'01_Transaction_Assumptions'!E8*'01_Transaction_Assumptions'!H7)/'01_Transaction_Assumptions'!B8)))-('01_Transaction_Assumptions'!B10/'01_Transaction_Assumptions'!B9))/ABS('01_Transaction_Assumptions'!B10/'01_Transaction_Assumptions'!B9)</x:f>
        <x:v>0.09941275167785239</x:v>
      </x:c>
      <x:c r="G7" s="48" t="n">
        <x:f>((('01_Transaction_Assumptions'!B10+'01_Transaction_Assumptions'!E9+G$5*(1-'01_Transaction_Assumptions'!H11)-((($A7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7*'01_Transaction_Assumptions'!E8*'01_Transaction_Assumptions'!H7)/'01_Transaction_Assumptions'!B8)))-('01_Transaction_Assumptions'!B10/'01_Transaction_Assumptions'!B9))/ABS('01_Transaction_Assumptions'!B10/'01_Transaction_Assumptions'!B9)</x:f>
        <x:v>0.12737695749440725</x:v>
      </x:c>
      <x:c r="H7" s="48" t="n">
        <x:f>((('01_Transaction_Assumptions'!B10+'01_Transaction_Assumptions'!E9+H$5*(1-'01_Transaction_Assumptions'!H11)-((($A7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7*'01_Transaction_Assumptions'!E8*'01_Transaction_Assumptions'!H7)/'01_Transaction_Assumptions'!B8)))-('01_Transaction_Assumptions'!B10/'01_Transaction_Assumptions'!B9))/ABS('01_Transaction_Assumptions'!B10/'01_Transaction_Assumptions'!B9)</x:f>
        <x:v>0.15534116331096193</x:v>
      </x:c>
      <x:c r="I7" s="4"/>
      <x:c r="J7" s="4"/>
      <x:c r="K7" s="4"/>
      <x:c r="L7" s="4"/>
      <x:c r="M7" s="4"/>
      <x:c r="N7" s="4"/>
    </x:row>
    <x:row r="8">
      <x:c r="A8" s="28" t="n">
        <x:v>24.5</x:v>
      </x:c>
      <x:c r="B8" s="48" t="n">
        <x:f>((('01_Transaction_Assumptions'!B10+'01_Transaction_Assumptions'!E9+B$5*(1-'01_Transaction_Assumptions'!H11)-((($A8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8*'01_Transaction_Assumptions'!E8*'01_Transaction_Assumptions'!H7)/'01_Transaction_Assumptions'!B8)))-('01_Transaction_Assumptions'!B10/'01_Transaction_Assumptions'!B9))/ABS('01_Transaction_Assumptions'!B10/'01_Transaction_Assumptions'!B9)</x:f>
        <x:v>-0.019905345211581237</x:v>
      </x:c>
      <x:c r="C8" s="48" t="n">
        <x:f>((('01_Transaction_Assumptions'!B10+'01_Transaction_Assumptions'!E9+C$5*(1-'01_Transaction_Assumptions'!H11)-((($A8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8*'01_Transaction_Assumptions'!E8*'01_Transaction_Assumptions'!H7)/'01_Transaction_Assumptions'!B8)))-('01_Transaction_Assumptions'!B10/'01_Transaction_Assumptions'!B9))/ABS('01_Transaction_Assumptions'!B10/'01_Transaction_Assumptions'!B9)</x:f>
        <x:v>0.007934298440980075</x:v>
      </x:c>
      <x:c r="D8" s="48" t="n">
        <x:f>((('01_Transaction_Assumptions'!B10+'01_Transaction_Assumptions'!E9+D$5*(1-'01_Transaction_Assumptions'!H11)-((($A8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8*'01_Transaction_Assumptions'!E8*'01_Transaction_Assumptions'!H7)/'01_Transaction_Assumptions'!B8)))-('01_Transaction_Assumptions'!B10/'01_Transaction_Assumptions'!B9))/ABS('01_Transaction_Assumptions'!B10/'01_Transaction_Assumptions'!B9)</x:f>
        <x:v>0.0357739420935412</x:v>
      </x:c>
      <x:c r="E8" s="48" t="n">
        <x:f>((('01_Transaction_Assumptions'!B10+'01_Transaction_Assumptions'!E9+E$5*(1-'01_Transaction_Assumptions'!H11)-((($A8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8*'01_Transaction_Assumptions'!E8*'01_Transaction_Assumptions'!H7)/'01_Transaction_Assumptions'!B8)))-('01_Transaction_Assumptions'!B10/'01_Transaction_Assumptions'!B9))/ABS('01_Transaction_Assumptions'!B10/'01_Transaction_Assumptions'!B9)</x:f>
        <x:v>0.06361358574610251</x:v>
      </x:c>
      <x:c r="F8" s="48" t="n">
        <x:f>((('01_Transaction_Assumptions'!B10+'01_Transaction_Assumptions'!E9+F$5*(1-'01_Transaction_Assumptions'!H11)-((($A8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8*'01_Transaction_Assumptions'!E8*'01_Transaction_Assumptions'!H7)/'01_Transaction_Assumptions'!B8)))-('01_Transaction_Assumptions'!B10/'01_Transaction_Assumptions'!B9))/ABS('01_Transaction_Assumptions'!B10/'01_Transaction_Assumptions'!B9)</x:f>
        <x:v>0.09145322939866382</x:v>
      </x:c>
      <x:c r="G8" s="48" t="n">
        <x:f>((('01_Transaction_Assumptions'!B10+'01_Transaction_Assumptions'!E9+G$5*(1-'01_Transaction_Assumptions'!H11)-((($A8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8*'01_Transaction_Assumptions'!E8*'01_Transaction_Assumptions'!H7)/'01_Transaction_Assumptions'!B8)))-('01_Transaction_Assumptions'!B10/'01_Transaction_Assumptions'!B9))/ABS('01_Transaction_Assumptions'!B10/'01_Transaction_Assumptions'!B9)</x:f>
        <x:v>0.11929287305122493</x:v>
      </x:c>
      <x:c r="H8" s="48" t="n">
        <x:f>((('01_Transaction_Assumptions'!B10+'01_Transaction_Assumptions'!E9+H$5*(1-'01_Transaction_Assumptions'!H11)-((($A8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8*'01_Transaction_Assumptions'!E8*'01_Transaction_Assumptions'!H7)/'01_Transaction_Assumptions'!B8)))-('01_Transaction_Assumptions'!B10/'01_Transaction_Assumptions'!B9))/ABS('01_Transaction_Assumptions'!B10/'01_Transaction_Assumptions'!B9)</x:f>
        <x:v>0.14713251670378624</x:v>
      </x:c>
      <x:c r="I8" s="4"/>
      <x:c r="J8" s="4"/>
      <x:c r="K8" s="4"/>
      <x:c r="L8" s="4"/>
      <x:c r="M8" s="4"/>
      <x:c r="N8" s="4"/>
    </x:row>
    <x:row r="9">
      <x:c r="A9" s="28" t="n">
        <x:v>25</x:v>
      </x:c>
      <x:c r="B9" s="48" t="n">
        <x:f>((('01_Transaction_Assumptions'!B10+'01_Transaction_Assumptions'!E9+B$5*(1-'01_Transaction_Assumptions'!H11)-((($A9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9*'01_Transaction_Assumptions'!E8*'01_Transaction_Assumptions'!H7)/'01_Transaction_Assumptions'!B8)))-('01_Transaction_Assumptions'!B10/'01_Transaction_Assumptions'!B9))/ABS('01_Transaction_Assumptions'!B10/'01_Transaction_Assumptions'!B9)</x:f>
        <x:v>-0.023611111111111104</x:v>
      </x:c>
      <x:c r="C9" s="48" t="n">
        <x:f>((('01_Transaction_Assumptions'!B10+'01_Transaction_Assumptions'!E9+C$5*(1-'01_Transaction_Assumptions'!H11)-((($A9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9*'01_Transaction_Assumptions'!E8*'01_Transaction_Assumptions'!H7)/'01_Transaction_Assumptions'!B8)))-('01_Transaction_Assumptions'!B10/'01_Transaction_Assumptions'!B9))/ABS('01_Transaction_Assumptions'!B10/'01_Transaction_Assumptions'!B9)</x:f>
        <x:v>0.004166666666666763</x:v>
      </x:c>
      <x:c r="D9" s="48" t="n">
        <x:f>((('01_Transaction_Assumptions'!B10+'01_Transaction_Assumptions'!E9+D$5*(1-'01_Transaction_Assumptions'!H11)-((($A9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9*'01_Transaction_Assumptions'!E8*'01_Transaction_Assumptions'!H7)/'01_Transaction_Assumptions'!B8)))-('01_Transaction_Assumptions'!B10/'01_Transaction_Assumptions'!B9))/ABS('01_Transaction_Assumptions'!B10/'01_Transaction_Assumptions'!B9)</x:f>
        <x:v>0.03194444444444444</x:v>
      </x:c>
      <x:c r="E9" s="48" t="n">
        <x:f>((('01_Transaction_Assumptions'!B10+'01_Transaction_Assumptions'!E9+E$5*(1-'01_Transaction_Assumptions'!H11)-((($A9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9*'01_Transaction_Assumptions'!E8*'01_Transaction_Assumptions'!H7)/'01_Transaction_Assumptions'!B8)))-('01_Transaction_Assumptions'!B10/'01_Transaction_Assumptions'!B9))/ABS('01_Transaction_Assumptions'!B10/'01_Transaction_Assumptions'!B9)</x:f>
        <x:v>0.05972222222222231</x:v>
      </x:c>
      <x:c r="F9" s="48" t="n">
        <x:f>((('01_Transaction_Assumptions'!B10+'01_Transaction_Assumptions'!E9+F$5*(1-'01_Transaction_Assumptions'!H11)-((($A9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9*'01_Transaction_Assumptions'!E8*'01_Transaction_Assumptions'!H7)/'01_Transaction_Assumptions'!B8)))-('01_Transaction_Assumptions'!B10/'01_Transaction_Assumptions'!B9))/ABS('01_Transaction_Assumptions'!B10/'01_Transaction_Assumptions'!B9)</x:f>
        <x:v>0.0875</x:v>
      </x:c>
      <x:c r="G9" s="48" t="n">
        <x:f>((('01_Transaction_Assumptions'!B10+'01_Transaction_Assumptions'!E9+G$5*(1-'01_Transaction_Assumptions'!H11)-((($A9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9*'01_Transaction_Assumptions'!E8*'01_Transaction_Assumptions'!H7)/'01_Transaction_Assumptions'!B8)))-('01_Transaction_Assumptions'!B10/'01_Transaction_Assumptions'!B9))/ABS('01_Transaction_Assumptions'!B10/'01_Transaction_Assumptions'!B9)</x:f>
        <x:v>0.11527777777777785</x:v>
      </x:c>
      <x:c r="H9" s="48" t="n">
        <x:f>((('01_Transaction_Assumptions'!B10+'01_Transaction_Assumptions'!E9+H$5*(1-'01_Transaction_Assumptions'!H11)-((($A9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9*'01_Transaction_Assumptions'!E8*'01_Transaction_Assumptions'!H7)/'01_Transaction_Assumptions'!B8)))-('01_Transaction_Assumptions'!B10/'01_Transaction_Assumptions'!B9))/ABS('01_Transaction_Assumptions'!B10/'01_Transaction_Assumptions'!B9)</x:f>
        <x:v>0.14305555555555555</x:v>
      </x:c>
      <x:c r="I9" s="4"/>
      <x:c r="J9" s="4"/>
      <x:c r="K9" s="4"/>
      <x:c r="L9" s="4"/>
      <x:c r="M9" s="4"/>
      <x:c r="N9" s="4"/>
    </x:row>
    <x:row r="10">
      <x:c r="A10" s="28" t="n">
        <x:v>25.5</x:v>
      </x:c>
      <x:c r="B10" s="48" t="n">
        <x:f>((('01_Transaction_Assumptions'!B10+'01_Transaction_Assumptions'!E9+B$5*(1-'01_Transaction_Assumptions'!H11)-((($A10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10*'01_Transaction_Assumptions'!E8*'01_Transaction_Assumptions'!H7)/'01_Transaction_Assumptions'!B8)))-('01_Transaction_Assumptions'!B10/'01_Transaction_Assumptions'!B9))/ABS('01_Transaction_Assumptions'!B10/'01_Transaction_Assumptions'!B9)</x:f>
        <x:v>-0.02730044345898001</x:v>
      </x:c>
      <x:c r="C10" s="48" t="n">
        <x:f>((('01_Transaction_Assumptions'!B10+'01_Transaction_Assumptions'!E9+C$5*(1-'01_Transaction_Assumptions'!H11)-((($A10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10*'01_Transaction_Assumptions'!E8*'01_Transaction_Assumptions'!H7)/'01_Transaction_Assumptions'!B8)))-('01_Transaction_Assumptions'!B10/'01_Transaction_Assumptions'!B9))/ABS('01_Transaction_Assumptions'!B10/'01_Transaction_Assumptions'!B9)</x:f>
        <x:v>0.00041574279379156626</x:v>
      </x:c>
      <x:c r="D10" s="48" t="n">
        <x:f>((('01_Transaction_Assumptions'!B10+'01_Transaction_Assumptions'!E9+D$5*(1-'01_Transaction_Assumptions'!H11)-((($A10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10*'01_Transaction_Assumptions'!E8*'01_Transaction_Assumptions'!H7)/'01_Transaction_Assumptions'!B8)))-('01_Transaction_Assumptions'!B10/'01_Transaction_Assumptions'!B9))/ABS('01_Transaction_Assumptions'!B10/'01_Transaction_Assumptions'!B9)</x:f>
        <x:v>0.028131929046563142</x:v>
      </x:c>
      <x:c r="E10" s="48" t="n">
        <x:f>((('01_Transaction_Assumptions'!B10+'01_Transaction_Assumptions'!E9+E$5*(1-'01_Transaction_Assumptions'!H11)-((($A10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10*'01_Transaction_Assumptions'!E8*'01_Transaction_Assumptions'!H7)/'01_Transaction_Assumptions'!B8)))-('01_Transaction_Assumptions'!B10/'01_Transaction_Assumptions'!B9))/ABS('01_Transaction_Assumptions'!B10/'01_Transaction_Assumptions'!B9)</x:f>
        <x:v>0.05584811529933491</x:v>
      </x:c>
      <x:c r="F10" s="48" t="n">
        <x:f>((('01_Transaction_Assumptions'!B10+'01_Transaction_Assumptions'!E9+F$5*(1-'01_Transaction_Assumptions'!H11)-((($A10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10*'01_Transaction_Assumptions'!E8*'01_Transaction_Assumptions'!H7)/'01_Transaction_Assumptions'!B8)))-('01_Transaction_Assumptions'!B10/'01_Transaction_Assumptions'!B9))/ABS('01_Transaction_Assumptions'!B10/'01_Transaction_Assumptions'!B9)</x:f>
        <x:v>0.08356430155210648</x:v>
      </x:c>
      <x:c r="G10" s="48" t="n">
        <x:f>((('01_Transaction_Assumptions'!B10+'01_Transaction_Assumptions'!E9+G$5*(1-'01_Transaction_Assumptions'!H11)-((($A10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10*'01_Transaction_Assumptions'!E8*'01_Transaction_Assumptions'!H7)/'01_Transaction_Assumptions'!B8)))-('01_Transaction_Assumptions'!B10/'01_Transaction_Assumptions'!B9))/ABS('01_Transaction_Assumptions'!B10/'01_Transaction_Assumptions'!B9)</x:f>
        <x:v>0.11128048780487806</x:v>
      </x:c>
      <x:c r="H10" s="48" t="n">
        <x:f>((('01_Transaction_Assumptions'!B10+'01_Transaction_Assumptions'!E9+H$5*(1-'01_Transaction_Assumptions'!H11)-((($A10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10*'01_Transaction_Assumptions'!E8*'01_Transaction_Assumptions'!H7)/'01_Transaction_Assumptions'!B8)))-('01_Transaction_Assumptions'!B10/'01_Transaction_Assumptions'!B9))/ABS('01_Transaction_Assumptions'!B10/'01_Transaction_Assumptions'!B9)</x:f>
        <x:v>0.13899667405764965</x:v>
      </x:c>
      <x:c r="I10" s="4"/>
      <x:c r="J10" s="4"/>
      <x:c r="K10" s="4"/>
      <x:c r="L10" s="4"/>
      <x:c r="M10" s="4"/>
      <x:c r="N10" s="4"/>
    </x:row>
    <x:row r="11">
      <x:c r="A11" s="28" t="n">
        <x:v>26.5</x:v>
      </x:c>
      <x:c r="B11" s="48" t="n">
        <x:f>((('01_Transaction_Assumptions'!B10+'01_Transaction_Assumptions'!E9+B$5*(1-'01_Transaction_Assumptions'!H11)-((($A11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11*'01_Transaction_Assumptions'!E8*'01_Transaction_Assumptions'!H7)/'01_Transaction_Assumptions'!B8)))-('01_Transaction_Assumptions'!B10/'01_Transaction_Assumptions'!B9))/ABS('01_Transaction_Assumptions'!B10/'01_Transaction_Assumptions'!B9)</x:f>
        <x:v>-0.03463024282560697</x:v>
      </x:c>
      <x:c r="C11" s="48" t="n">
        <x:f>((('01_Transaction_Assumptions'!B10+'01_Transaction_Assumptions'!E9+C$5*(1-'01_Transaction_Assumptions'!H11)-((($A11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11*'01_Transaction_Assumptions'!E8*'01_Transaction_Assumptions'!H7)/'01_Transaction_Assumptions'!B8)))-('01_Transaction_Assumptions'!B10/'01_Transaction_Assumptions'!B9))/ABS('01_Transaction_Assumptions'!B10/'01_Transaction_Assumptions'!B9)</x:f>
        <x:v>-0.007036423841059551</x:v>
      </x:c>
      <x:c r="D11" s="48" t="n">
        <x:f>((('01_Transaction_Assumptions'!B10+'01_Transaction_Assumptions'!E9+D$5*(1-'01_Transaction_Assumptions'!H11)-((($A11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11*'01_Transaction_Assumptions'!E8*'01_Transaction_Assumptions'!H7)/'01_Transaction_Assumptions'!B8)))-('01_Transaction_Assumptions'!B10/'01_Transaction_Assumptions'!B9))/ABS('01_Transaction_Assumptions'!B10/'01_Transaction_Assumptions'!B9)</x:f>
        <x:v>0.020557395143487867</x:v>
      </x:c>
      <x:c r="E11" s="48" t="n">
        <x:f>((('01_Transaction_Assumptions'!B10+'01_Transaction_Assumptions'!E9+E$5*(1-'01_Transaction_Assumptions'!H11)-((($A11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11*'01_Transaction_Assumptions'!E8*'01_Transaction_Assumptions'!H7)/'01_Transaction_Assumptions'!B8)))-('01_Transaction_Assumptions'!B10/'01_Transaction_Assumptions'!B9))/ABS('01_Transaction_Assumptions'!B10/'01_Transaction_Assumptions'!B9)</x:f>
        <x:v>0.04815121412803529</x:v>
      </x:c>
      <x:c r="F11" s="48" t="n">
        <x:f>((('01_Transaction_Assumptions'!B10+'01_Transaction_Assumptions'!E9+F$5*(1-'01_Transaction_Assumptions'!H11)-((($A11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11*'01_Transaction_Assumptions'!E8*'01_Transaction_Assumptions'!H7)/'01_Transaction_Assumptions'!B8)))-('01_Transaction_Assumptions'!B10/'01_Transaction_Assumptions'!B9))/ABS('01_Transaction_Assumptions'!B10/'01_Transaction_Assumptions'!B9)</x:f>
        <x:v>0.07574503311258289</x:v>
      </x:c>
      <x:c r="G11" s="48" t="n">
        <x:f>((('01_Transaction_Assumptions'!B10+'01_Transaction_Assumptions'!E9+G$5*(1-'01_Transaction_Assumptions'!H11)-((($A11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11*'01_Transaction_Assumptions'!E8*'01_Transaction_Assumptions'!H7)/'01_Transaction_Assumptions'!B8)))-('01_Transaction_Assumptions'!B10/'01_Transaction_Assumptions'!B9))/ABS('01_Transaction_Assumptions'!B10/'01_Transaction_Assumptions'!B9)</x:f>
        <x:v>0.10333885209713031</x:v>
      </x:c>
      <x:c r="H11" s="48" t="n">
        <x:f>((('01_Transaction_Assumptions'!B10+'01_Transaction_Assumptions'!E9+H$5*(1-'01_Transaction_Assumptions'!H11)-((($A11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11*'01_Transaction_Assumptions'!E8*'01_Transaction_Assumptions'!H7)/'01_Transaction_Assumptions'!B8)))-('01_Transaction_Assumptions'!B10/'01_Transaction_Assumptions'!B9))/ABS('01_Transaction_Assumptions'!B10/'01_Transaction_Assumptions'!B9)</x:f>
        <x:v>0.13093267108167772</x:v>
      </x:c>
      <x:c r="I11" s="4"/>
      <x:c r="J11" s="4"/>
      <x:c r="K11" s="4"/>
      <x:c r="L11" s="4"/>
      <x:c r="M11" s="4"/>
      <x:c r="N11" s="4"/>
    </x:row>
    <x:row r="12">
      <x:c r="A12" s="28" t="n">
        <x:v>27.5</x:v>
      </x:c>
      <x:c r="B12" s="48" t="n">
        <x:f>((('01_Transaction_Assumptions'!B10+'01_Transaction_Assumptions'!E9+B$5*(1-'01_Transaction_Assumptions'!H11)-((($A12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12*'01_Transaction_Assumptions'!E8*'01_Transaction_Assumptions'!H7)/'01_Transaction_Assumptions'!B8)))-('01_Transaction_Assumptions'!B10/'01_Transaction_Assumptions'!B9))/ABS('01_Transaction_Assumptions'!B10/'01_Transaction_Assumptions'!B9)</x:f>
        <x:v>-0.041895604395604434</x:v>
      </x:c>
      <x:c r="C12" s="48" t="n">
        <x:f>((('01_Transaction_Assumptions'!B10+'01_Transaction_Assumptions'!E9+C$5*(1-'01_Transaction_Assumptions'!H11)-((($A12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12*'01_Transaction_Assumptions'!E8*'01_Transaction_Assumptions'!H7)/'01_Transaction_Assumptions'!B8)))-('01_Transaction_Assumptions'!B10/'01_Transaction_Assumptions'!B9))/ABS('01_Transaction_Assumptions'!B10/'01_Transaction_Assumptions'!B9)</x:f>
        <x:v>-0.014423076923076872</x:v>
      </x:c>
      <x:c r="D12" s="48" t="n">
        <x:f>((('01_Transaction_Assumptions'!B10+'01_Transaction_Assumptions'!E9+D$5*(1-'01_Transaction_Assumptions'!H11)-((($A12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12*'01_Transaction_Assumptions'!E8*'01_Transaction_Assumptions'!H7)/'01_Transaction_Assumptions'!B8)))-('01_Transaction_Assumptions'!B10/'01_Transaction_Assumptions'!B9))/ABS('01_Transaction_Assumptions'!B10/'01_Transaction_Assumptions'!B9)</x:f>
        <x:v>0.013049450549450503</x:v>
      </x:c>
      <x:c r="E12" s="48" t="n">
        <x:f>((('01_Transaction_Assumptions'!B10+'01_Transaction_Assumptions'!E9+E$5*(1-'01_Transaction_Assumptions'!H11)-((($A12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12*'01_Transaction_Assumptions'!E8*'01_Transaction_Assumptions'!H7)/'01_Transaction_Assumptions'!B8)))-('01_Transaction_Assumptions'!B10/'01_Transaction_Assumptions'!B9))/ABS('01_Transaction_Assumptions'!B10/'01_Transaction_Assumptions'!B9)</x:f>
        <x:v>0.040521978021978065</x:v>
      </x:c>
      <x:c r="F12" s="48" t="n">
        <x:f>((('01_Transaction_Assumptions'!B10+'01_Transaction_Assumptions'!E9+F$5*(1-'01_Transaction_Assumptions'!H11)-((($A12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12*'01_Transaction_Assumptions'!E8*'01_Transaction_Assumptions'!H7)/'01_Transaction_Assumptions'!B8)))-('01_Transaction_Assumptions'!B10/'01_Transaction_Assumptions'!B9))/ABS('01_Transaction_Assumptions'!B10/'01_Transaction_Assumptions'!B9)</x:f>
        <x:v>0.06799450549450563</x:v>
      </x:c>
      <x:c r="G12" s="48" t="n">
        <x:f>((('01_Transaction_Assumptions'!B10+'01_Transaction_Assumptions'!E9+G$5*(1-'01_Transaction_Assumptions'!H11)-((($A12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12*'01_Transaction_Assumptions'!E8*'01_Transaction_Assumptions'!H7)/'01_Transaction_Assumptions'!B8)))-('01_Transaction_Assumptions'!B10/'01_Transaction_Assumptions'!B9))/ABS('01_Transaction_Assumptions'!B10/'01_Transaction_Assumptions'!B9)</x:f>
        <x:v>0.095467032967033</x:v>
      </x:c>
      <x:c r="H12" s="48" t="n">
        <x:f>((('01_Transaction_Assumptions'!B10+'01_Transaction_Assumptions'!E9+H$5*(1-'01_Transaction_Assumptions'!H11)-((($A12*'01_Transaction_Assumptions'!E8*'01_Transaction_Assumptions'!H6-'01_Transaction_Assumptions'!H8)*'01_Transaction_Assumptions'!H9*(1-'01_Transaction_Assumptions'!H11)))-('01_Transaction_Assumptions'!H8*'01_Transaction_Assumptions'!H10*(1-'01_Transaction_Assumptions'!H11))-(('01_Transaction_Assumptions'!H13/'01_Transaction_Assumptions'!H14)*(1-'01_Transaction_Assumptions'!H11)))/('01_Transaction_Assumptions'!B9+(($A12*'01_Transaction_Assumptions'!E8*'01_Transaction_Assumptions'!H7)/'01_Transaction_Assumptions'!B8)))-('01_Transaction_Assumptions'!B10/'01_Transaction_Assumptions'!B9))/ABS('01_Transaction_Assumptions'!B10/'01_Transaction_Assumptions'!B9)</x:f>
        <x:v>0.12293956043956056</x:v>
      </x:c>
      <x:c r="I12" s="4"/>
      <x:c r="J12" s="4"/>
      <x:c r="K12" s="4"/>
      <x:c r="L12" s="4"/>
      <x:c r="M12" s="4"/>
      <x:c r="N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>
      <x:c r="A14" s="38" t="str">
        <x:v>Interpretation: positive percentages indicate EPS accretion; negative percentages indicate EPS dilution. This is a mechanical scenario analysis, not a recommendation.</x:v>
      </x:c>
      <x:c r="B14" s="38"/>
      <x:c r="C14" s="38"/>
      <x:c r="D14" s="38"/>
      <x:c r="E14" s="38"/>
      <x:c r="F14" s="38"/>
      <x:c r="G14" s="38"/>
      <x:c r="H14" s="38"/>
      <x:c r="I14" s="4"/>
      <x:c r="J14" s="4"/>
      <x:c r="K14" s="4"/>
      <x:c r="L14" s="4"/>
      <x:c r="M14" s="4"/>
      <x:c r="N14" s="4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4"/>
      <x:c r="J15" s="4"/>
      <x:c r="K15" s="4"/>
      <x:c r="L15" s="4"/>
      <x:c r="M15" s="4"/>
      <x:c r="N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J1"/>
    <x:mergeCell ref="A2:J2"/>
    <x:mergeCell ref="A4:J4"/>
    <x:mergeCell ref="A14:H15"/>
  </x:mergeCells>
  <x:conditionalFormatting sqref="B6:H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4" hidden="0" customWidth="1"/>
  </x:cols>
  <x:sheetData>
    <x:row r="1" ht="24" customHeight="1">
      <x:c r="A1" s="9" t="str">
        <x:v>Model Checks</x:v>
      </x:c>
      <x:c r="B1" s="9"/>
      <x:c r="C1" s="9"/>
      <x:c r="D1" s="9"/>
      <x:c r="E1" s="9"/>
      <x:c r="F1" s="9"/>
      <x:c r="G1" s="9"/>
      <x:c r="H1" s="9"/>
      <x:c r="I1" s="4"/>
      <x:c r="J1" s="4"/>
      <x:c r="K1" s="4"/>
      <x:c r="L1" s="4"/>
      <x:c r="M1" s="4"/>
      <x:c r="N1" s="4"/>
    </x:row>
    <x:row r="2">
      <x:c r="A2" s="16" t="str">
        <x:v>Excel formulas reconciled to Python-engine reference outputs. Purple = Python reference.</x:v>
      </x:c>
      <x:c r="B2" s="16"/>
      <x:c r="C2" s="16"/>
      <x:c r="D2" s="16"/>
      <x:c r="E2" s="16"/>
      <x:c r="F2" s="16"/>
      <x:c r="G2" s="16"/>
      <x:c r="H2" s="16"/>
      <x:c r="I2" s="4"/>
      <x:c r="J2" s="4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Python vs Excel Reconciliation</x:v>
      </x:c>
      <x:c r="B4" s="22"/>
      <x:c r="C4" s="22"/>
      <x:c r="D4" s="22"/>
      <x:c r="E4" s="22"/>
      <x:c r="F4" s="22"/>
      <x:c r="G4" s="22"/>
      <x:c r="H4" s="22"/>
      <x:c r="I4" s="4"/>
      <x:c r="J4" s="4"/>
      <x:c r="K4" s="4"/>
      <x:c r="L4" s="4"/>
      <x:c r="M4" s="4"/>
      <x:c r="N4" s="4"/>
    </x:row>
    <x:row r="5">
      <x:c r="A5" s="80" t="str">
        <x:v>Category</x:v>
      </x:c>
      <x:c r="B5" s="74" t="str">
        <x:v>Metric</x:v>
      </x:c>
      <x:c r="C5" s="74" t="str">
        <x:v>Excel</x:v>
      </x:c>
      <x:c r="D5" s="74" t="str">
        <x:v>Python</x:v>
      </x:c>
      <x:c r="E5" s="74" t="str">
        <x:v>Difference</x:v>
      </x:c>
      <x:c r="F5" s="74" t="str">
        <x:v>Tolerance</x:v>
      </x:c>
      <x:c r="G5" s="74" t="str">
        <x:v>Status</x:v>
      </x:c>
      <x:c r="H5" s="74" t="str">
        <x:v>Notes</x:v>
      </x:c>
      <x:c r="I5" s="4"/>
      <x:c r="J5" s="4"/>
      <x:c r="K5" s="4"/>
      <x:c r="L5" s="4"/>
      <x:c r="M5" s="4"/>
      <x:c r="N5" s="4"/>
    </x:row>
    <x:row r="6">
      <x:c r="A6" s="4" t="str">
        <x:v>Transaction</x:v>
      </x:c>
      <x:c r="B6" s="4" t="str">
        <x:v>Offer Premium</x:v>
      </x:c>
      <x:c r="C6" s="82" t="n">
        <x:f>'02_Purchase_Price'!B7</x:f>
        <x:v>0.25</x:v>
      </x:c>
      <x:c r="D6" s="86" t="n">
        <x:v>0.25</x:v>
      </x:c>
      <x:c r="E6" s="88" t="n">
        <x:f>C6-D6</x:f>
        <x:v>0</x:v>
      </x:c>
      <x:c r="F6" s="88" t="n">
        <x:v>0.000001</x:v>
      </x:c>
      <x:c r="G6" s="4" t="str">
        <x:f>IF(ABS(E6)&lt;=F6,"PASS","FAIL")</x:f>
        <x:v>PASS</x:v>
      </x:c>
      <x:c r="H6" s="4" t="str">
        <x:v>Controlled sample</x:v>
      </x:c>
      <x:c r="I6" s="4"/>
      <x:c r="J6" s="4"/>
      <x:c r="K6" s="4"/>
      <x:c r="L6" s="4"/>
      <x:c r="M6" s="4"/>
      <x:c r="N6" s="4"/>
    </x:row>
    <x:row r="7">
      <x:c r="A7" s="4" t="str">
        <x:v>Transaction</x:v>
      </x:c>
      <x:c r="B7" s="4" t="str">
        <x:v>Equity Purchase Price</x:v>
      </x:c>
      <x:c r="C7" s="50" t="n">
        <x:f>'02_Purchase_Price'!B9</x:f>
        <x:v>2500</x:v>
      </x:c>
      <x:c r="D7" s="90" t="n">
        <x:v>2500</x:v>
      </x:c>
      <x:c r="E7" s="88" t="n">
        <x:f>C7-D7</x:f>
        <x:v>0</x:v>
      </x:c>
      <x:c r="F7" s="88" t="n">
        <x:v>0.000001</x:v>
      </x:c>
      <x:c r="G7" s="4" t="str">
        <x:f>IF(ABS(E7)&lt;=F7,"PASS","FAIL")</x:f>
        <x:v>PASS</x:v>
      </x:c>
      <x:c r="H7" s="4" t="str">
        <x:v>Controlled sample</x:v>
      </x:c>
      <x:c r="I7" s="4"/>
      <x:c r="J7" s="4"/>
      <x:c r="K7" s="4"/>
      <x:c r="L7" s="4"/>
      <x:c r="M7" s="4"/>
      <x:c r="N7" s="4"/>
    </x:row>
    <x:row r="8">
      <x:c r="A8" s="4" t="str">
        <x:v>Transaction</x:v>
      </x:c>
      <x:c r="B8" s="4" t="str">
        <x:v>Enterprise Value</x:v>
      </x:c>
      <x:c r="C8" s="50" t="n">
        <x:f>'02_Purchase_Price'!B12</x:f>
        <x:v>2800</x:v>
      </x:c>
      <x:c r="D8" s="90" t="n">
        <x:v>2800</x:v>
      </x:c>
      <x:c r="E8" s="88" t="n">
        <x:f>C8-D8</x:f>
        <x:v>0</x:v>
      </x:c>
      <x:c r="F8" s="88" t="n">
        <x:v>0.000001</x:v>
      </x:c>
      <x:c r="G8" s="4" t="str">
        <x:f>IF(ABS(E8)&lt;=F8,"PASS","FAIL")</x:f>
        <x:v>PASS</x:v>
      </x:c>
      <x:c r="H8" s="4" t="str">
        <x:v>Controlled sample</x:v>
      </x:c>
      <x:c r="I8" s="4"/>
      <x:c r="J8" s="4"/>
      <x:c r="K8" s="4"/>
      <x:c r="L8" s="4"/>
      <x:c r="M8" s="4"/>
      <x:c r="N8" s="4"/>
    </x:row>
    <x:row r="9">
      <x:c r="A9" s="4" t="str">
        <x:v>Transaction</x:v>
      </x:c>
      <x:c r="B9" s="4" t="str">
        <x:v>EV / EBITDA</x:v>
      </x:c>
      <x:c r="C9" s="92" t="n">
        <x:f>'02_Purchase_Price'!B19</x:f>
        <x:v>11.2</x:v>
      </x:c>
      <x:c r="D9" s="94" t="n">
        <x:v>11.2</x:v>
      </x:c>
      <x:c r="E9" s="88" t="n">
        <x:f>C9-D9</x:f>
        <x:v>0</x:v>
      </x:c>
      <x:c r="F9" s="88" t="n">
        <x:v>0.000001</x:v>
      </x:c>
      <x:c r="G9" s="4" t="str">
        <x:f>IF(ABS(E9)&lt;=F9,"PASS","FAIL")</x:f>
        <x:v>PASS</x:v>
      </x:c>
      <x:c r="H9" s="4" t="str">
        <x:v>Controlled sample</x:v>
      </x:c>
      <x:c r="I9" s="4"/>
      <x:c r="J9" s="4"/>
      <x:c r="K9" s="4"/>
      <x:c r="L9" s="4"/>
      <x:c r="M9" s="4"/>
      <x:c r="N9" s="4"/>
    </x:row>
    <x:row r="10">
      <x:c r="A10" s="4" t="str">
        <x:v>Financing</x:v>
      </x:c>
      <x:c r="B10" s="4" t="str">
        <x:v>Cash Consideration</x:v>
      </x:c>
      <x:c r="C10" s="50" t="n">
        <x:f>'03_Sources_Uses'!B5+'03_Sources_Uses'!B6</x:f>
        <x:v>1250</x:v>
      </x:c>
      <x:c r="D10" s="90" t="n">
        <x:v>1250</x:v>
      </x:c>
      <x:c r="E10" s="88" t="n">
        <x:f>C10-D10</x:f>
        <x:v>0</x:v>
      </x:c>
      <x:c r="F10" s="88" t="n">
        <x:v>0.000001</x:v>
      </x:c>
      <x:c r="G10" s="4" t="str">
        <x:f>IF(ABS(E10)&lt;=F10,"PASS","FAIL")</x:f>
        <x:v>PASS</x:v>
      </x:c>
      <x:c r="H10" s="4" t="str">
        <x:v>Cash sources</x:v>
      </x:c>
      <x:c r="I10" s="4"/>
      <x:c r="J10" s="4"/>
      <x:c r="K10" s="4"/>
      <x:c r="L10" s="4"/>
      <x:c r="M10" s="4"/>
      <x:c r="N10" s="4"/>
    </x:row>
    <x:row r="11">
      <x:c r="A11" s="4" t="str">
        <x:v>Financing</x:v>
      </x:c>
      <x:c r="B11" s="4" t="str">
        <x:v>Stock Consideration</x:v>
      </x:c>
      <x:c r="C11" s="50" t="n">
        <x:f>'03_Sources_Uses'!B7</x:f>
        <x:v>1250</x:v>
      </x:c>
      <x:c r="D11" s="90" t="n">
        <x:v>1250</x:v>
      </x:c>
      <x:c r="E11" s="88" t="n">
        <x:f>C11-D11</x:f>
        <x:v>0</x:v>
      </x:c>
      <x:c r="F11" s="88" t="n">
        <x:v>0.000001</x:v>
      </x:c>
      <x:c r="G11" s="4" t="str">
        <x:f>IF(ABS(E11)&lt;=F11,"PASS","FAIL")</x:f>
        <x:v>PASS</x:v>
      </x:c>
      <x:c r="H11" s="4" t="str">
        <x:v>Stock consideration</x:v>
      </x:c>
      <x:c r="I11" s="4"/>
      <x:c r="J11" s="4"/>
      <x:c r="K11" s="4"/>
      <x:c r="L11" s="4"/>
      <x:c r="M11" s="4"/>
      <x:c r="N11" s="4"/>
    </x:row>
    <x:row r="12">
      <x:c r="A12" s="4" t="str">
        <x:v>Financing</x:v>
      </x:c>
      <x:c r="B12" s="4" t="str">
        <x:v>New Debt Raised</x:v>
      </x:c>
      <x:c r="C12" s="50" t="n">
        <x:f>'03_Sources_Uses'!B6</x:f>
        <x:v>750</x:v>
      </x:c>
      <x:c r="D12" s="90" t="n">
        <x:v>750</x:v>
      </x:c>
      <x:c r="E12" s="88" t="n">
        <x:f>C12-D12</x:f>
        <x:v>0</x:v>
      </x:c>
      <x:c r="F12" s="88" t="n">
        <x:v>0.000001</x:v>
      </x:c>
      <x:c r="G12" s="4" t="str">
        <x:f>IF(ABS(E12)&lt;=F12,"PASS","FAIL")</x:f>
        <x:v>PASS</x:v>
      </x:c>
      <x:c r="H12" s="4" t="str">
        <x:v>Controlled sample</x:v>
      </x:c>
      <x:c r="I12" s="4"/>
      <x:c r="J12" s="4"/>
      <x:c r="K12" s="4"/>
      <x:c r="L12" s="4"/>
      <x:c r="M12" s="4"/>
      <x:c r="N12" s="4"/>
    </x:row>
    <x:row r="13">
      <x:c r="A13" s="4" t="str">
        <x:v>Financing</x:v>
      </x:c>
      <x:c r="B13" s="4" t="str">
        <x:v>New Shares Issued</x:v>
      </x:c>
      <x:c r="C13" s="50" t="n">
        <x:f>'06_Pro_Forma_Ownership'!B7</x:f>
        <x:v>31.25</x:v>
      </x:c>
      <x:c r="D13" s="90" t="n">
        <x:v>31.25</x:v>
      </x:c>
      <x:c r="E13" s="88" t="n">
        <x:f>C13-D13</x:f>
        <x:v>0</x:v>
      </x:c>
      <x:c r="F13" s="88" t="n">
        <x:v>0.000001</x:v>
      </x:c>
      <x:c r="G13" s="4" t="str">
        <x:f>IF(ABS(E13)&lt;=F13,"PASS","FAIL")</x:f>
        <x:v>PASS</x:v>
      </x:c>
      <x:c r="H13" s="4" t="str">
        <x:v>Controlled sample</x:v>
      </x:c>
      <x:c r="I13" s="4"/>
      <x:c r="J13" s="4"/>
      <x:c r="K13" s="4"/>
      <x:c r="L13" s="4"/>
      <x:c r="M13" s="4"/>
      <x:c r="N13" s="4"/>
    </x:row>
    <x:row r="14">
      <x:c r="A14" s="4" t="str">
        <x:v>Ownership</x:v>
      </x:c>
      <x:c r="B14" s="4" t="str">
        <x:v>Target Seller Ownership</x:v>
      </x:c>
      <x:c r="C14" s="82" t="n">
        <x:f>'06_Pro_Forma_Ownership'!B12</x:f>
        <x:v>0.1111111111111111</x:v>
      </x:c>
      <x:c r="D14" s="86" t="n">
        <x:v>0.1111111111</x:v>
      </x:c>
      <x:c r="E14" s="88" t="n">
        <x:f>C14-D14</x:f>
        <x:v>1.1111098152660759e-11</x:v>
      </x:c>
      <x:c r="F14" s="88" t="n">
        <x:v>0.000001</x:v>
      </x:c>
      <x:c r="G14" s="4" t="str">
        <x:f>IF(ABS(E14)&lt;=F14,"PASS","FAIL")</x:f>
        <x:v>PASS</x:v>
      </x:c>
      <x:c r="H14" s="4" t="str">
        <x:v>Controlled sample</x:v>
      </x:c>
      <x:c r="I14" s="4"/>
      <x:c r="J14" s="4"/>
      <x:c r="K14" s="4"/>
      <x:c r="L14" s="4"/>
      <x:c r="M14" s="4"/>
      <x:c r="N14" s="4"/>
    </x:row>
    <x:row r="15">
      <x:c r="A15" s="4" t="str">
        <x:v>Purchase Accounting</x:v>
      </x:c>
      <x:c r="B15" s="4" t="str">
        <x:v>Goodwill</x:v>
      </x:c>
      <x:c r="C15" s="50" t="n">
        <x:f>'04_Purchase_Accounting'!B8</x:f>
        <x:v>1300</x:v>
      </x:c>
      <x:c r="D15" s="90" t="n">
        <x:v>1300</x:v>
      </x:c>
      <x:c r="E15" s="88" t="n">
        <x:f>C15-D15</x:f>
        <x:v>0</x:v>
      </x:c>
      <x:c r="F15" s="88" t="n">
        <x:v>0.000001</x:v>
      </x:c>
      <x:c r="G15" s="4" t="str">
        <x:f>IF(ABS(E15)&lt;=F15,"PASS","FAIL")</x:f>
        <x:v>PASS</x:v>
      </x:c>
      <x:c r="H15" s="4" t="str">
        <x:v>Simplified PPA</x:v>
      </x:c>
      <x:c r="I15" s="4"/>
      <x:c r="J15" s="4"/>
      <x:c r="K15" s="4"/>
      <x:c r="L15" s="4"/>
      <x:c r="M15" s="4"/>
      <x:c r="N15" s="4"/>
    </x:row>
    <x:row r="16">
      <x:c r="A16" s="4" t="str">
        <x:v>Purchase Accounting</x:v>
      </x:c>
      <x:c r="B16" s="4" t="str">
        <x:v>Annual Amortization</x:v>
      </x:c>
      <x:c r="C16" s="50" t="n">
        <x:f>'04_Purchase_Accounting'!B11</x:f>
        <x:v>30</x:v>
      </x:c>
      <x:c r="D16" s="90" t="n">
        <x:v>30</x:v>
      </x:c>
      <x:c r="E16" s="88" t="n">
        <x:f>C16-D16</x:f>
        <x:v>0</x:v>
      </x:c>
      <x:c r="F16" s="88" t="n">
        <x:v>0.000001</x:v>
      </x:c>
      <x:c r="G16" s="4" t="str">
        <x:f>IF(ABS(E16)&lt;=F16,"PASS","FAIL")</x:f>
        <x:v>PASS</x:v>
      </x:c>
      <x:c r="H16" s="4" t="str">
        <x:v>Simplified PPA</x:v>
      </x:c>
      <x:c r="I16" s="4"/>
      <x:c r="J16" s="4"/>
      <x:c r="K16" s="4"/>
      <x:c r="L16" s="4"/>
      <x:c r="M16" s="4"/>
      <x:c r="N16" s="4"/>
    </x:row>
    <x:row r="17">
      <x:c r="A17" s="4" t="str">
        <x:v>EPS</x:v>
      </x:c>
      <x:c r="B17" s="4" t="str">
        <x:v>Standalone EPS</x:v>
      </x:c>
      <x:c r="C17" s="46" t="n">
        <x:f>'05_Accretion_Dilution'!B18</x:f>
        <x:v>2.4</x:v>
      </x:c>
      <x:c r="D17" s="96" t="n">
        <x:v>2.4</x:v>
      </x:c>
      <x:c r="E17" s="88" t="n">
        <x:f>C17-D17</x:f>
        <x:v>0</x:v>
      </x:c>
      <x:c r="F17" s="88" t="n">
        <x:v>0.000001</x:v>
      </x:c>
      <x:c r="G17" s="4" t="str">
        <x:f>IF(ABS(E17)&lt;=F17,"PASS","FAIL")</x:f>
        <x:v>PASS</x:v>
      </x:c>
      <x:c r="H17" s="4" t="str">
        <x:v>Controlled sample</x:v>
      </x:c>
      <x:c r="I17" s="4"/>
      <x:c r="J17" s="4"/>
      <x:c r="K17" s="4"/>
      <x:c r="L17" s="4"/>
      <x:c r="M17" s="4"/>
      <x:c r="N17" s="4"/>
    </x:row>
    <x:row r="18">
      <x:c r="A18" s="4" t="str">
        <x:v>EPS</x:v>
      </x:c>
      <x:c r="B18" s="4" t="str">
        <x:v>Pro Forma Net Income</x:v>
      </x:c>
      <x:c r="C18" s="50" t="n">
        <x:f>'05_Accretion_Dilution'!B11</x:f>
        <x:v>734.0625</x:v>
      </x:c>
      <x:c r="D18" s="90" t="n">
        <x:v>734.0625</x:v>
      </x:c>
      <x:c r="E18" s="88" t="n">
        <x:f>C18-D18</x:f>
        <x:v>0</x:v>
      </x:c>
      <x:c r="F18" s="88" t="n">
        <x:v>0.000001</x:v>
      </x:c>
      <x:c r="G18" s="4" t="str">
        <x:f>IF(ABS(E18)&lt;=F18,"PASS","FAIL")</x:f>
        <x:v>PASS</x:v>
      </x:c>
      <x:c r="H18" s="4" t="str">
        <x:v>Controlled sample</x:v>
      </x:c>
      <x:c r="I18" s="4"/>
      <x:c r="J18" s="4"/>
      <x:c r="K18" s="4"/>
      <x:c r="L18" s="4"/>
      <x:c r="M18" s="4"/>
      <x:c r="N18" s="4"/>
    </x:row>
    <x:row r="19">
      <x:c r="A19" s="4" t="str">
        <x:v>EPS</x:v>
      </x:c>
      <x:c r="B19" s="4" t="str">
        <x:v>Pro Forma EPS</x:v>
      </x:c>
      <x:c r="C19" s="46" t="n">
        <x:f>'05_Accretion_Dilution'!B19</x:f>
        <x:v>2.61</x:v>
      </x:c>
      <x:c r="D19" s="96" t="n">
        <x:v>2.61</x:v>
      </x:c>
      <x:c r="E19" s="88" t="n">
        <x:f>C19-D19</x:f>
        <x:v>0</x:v>
      </x:c>
      <x:c r="F19" s="88" t="n">
        <x:v>0.000001</x:v>
      </x:c>
      <x:c r="G19" s="4" t="str">
        <x:f>IF(ABS(E19)&lt;=F19,"PASS","FAIL")</x:f>
        <x:v>PASS</x:v>
      </x:c>
      <x:c r="H19" s="4" t="str">
        <x:v>Controlled sample</x:v>
      </x:c>
      <x:c r="I19" s="4"/>
      <x:c r="J19" s="4"/>
      <x:c r="K19" s="4"/>
      <x:c r="L19" s="4"/>
      <x:c r="M19" s="4"/>
      <x:c r="N19" s="4"/>
    </x:row>
    <x:row r="20">
      <x:c r="A20" s="4" t="str">
        <x:v>EPS</x:v>
      </x:c>
      <x:c r="B20" s="4" t="str">
        <x:v>Accretion / Dilution</x:v>
      </x:c>
      <x:c r="C20" s="82" t="n">
        <x:f>'05_Accretion_Dilution'!B20</x:f>
        <x:v>0.0875</x:v>
      </x:c>
      <x:c r="D20" s="86" t="n">
        <x:v>0.0875</x:v>
      </x:c>
      <x:c r="E20" s="88" t="n">
        <x:f>C20-D20</x:f>
        <x:v>0</x:v>
      </x:c>
      <x:c r="F20" s="88" t="n">
        <x:v>0.000001</x:v>
      </x:c>
      <x:c r="G20" s="4" t="str">
        <x:f>IF(ABS(E20)&lt;=F20,"PASS","FAIL")</x:f>
        <x:v>PASS</x:v>
      </x:c>
      <x:c r="H20" s="4" t="str">
        <x:v>Controlled sample</x:v>
      </x:c>
      <x:c r="I20" s="4"/>
      <x:c r="J20" s="4"/>
      <x:c r="K20" s="4"/>
      <x:c r="L20" s="4"/>
      <x:c r="M20" s="4"/>
      <x:c r="N20" s="4"/>
    </x:row>
    <x:row r="21">
      <x:c r="A21" s="4" t="str">
        <x:v>EPS</x:v>
      </x:c>
      <x:c r="B21" s="4" t="str">
        <x:v>Break-Even Synergies</x:v>
      </x:c>
      <x:c r="C21" s="50" t="n">
        <x:f>'05_Accretion_Dilution'!B22</x:f>
        <x:v>21.25</x:v>
      </x:c>
      <x:c r="D21" s="90" t="n">
        <x:v>21.25</x:v>
      </x:c>
      <x:c r="E21" s="88" t="n">
        <x:f>C21-D21</x:f>
        <x:v>0</x:v>
      </x:c>
      <x:c r="F21" s="88" t="n">
        <x:v>0.000001</x:v>
      </x:c>
      <x:c r="G21" s="4" t="str">
        <x:f>IF(ABS(E21)&lt;=F21,"PASS","FAIL")</x:f>
        <x:v>PASS</x:v>
      </x:c>
      <x:c r="H21" s="4" t="str">
        <x:v>Controlled sample</x:v>
      </x:c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58" t="str">
        <x:v>OVERALL</x:v>
      </x:c>
      <x:c r="B23" s="58"/>
      <x:c r="C23" s="58"/>
      <x:c r="D23" s="58"/>
      <x:c r="E23" s="58"/>
      <x:c r="F23" s="58"/>
      <x:c r="G23" s="58" t="str">
        <x:f>IF(COUNTIF(G6:G21,"FAIL")=0,"ALL CHECKS PASS","CHECK FAILURES")</x:f>
        <x:v>ALL CHECKS PASS</x:v>
      </x:c>
      <x:c r="H23" s="58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H1"/>
    <x:mergeCell ref="A2:H2"/>
    <x:mergeCell ref="A4:H4"/>
  </x:mergeCells>
  <x:conditionalFormatting sqref="G6:G21">
    <x:cfRule type="expression" dxfId="2" priority="1">
      <x:formula>G6="PASS"</x:formula>
    </x:cfRule>
    <x:cfRule type="expression" dxfId="3" priority="2">
      <x:formula>G6="FAIL"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44" hidden="0" customWidth="1"/>
    <x:col min="4" max="4" width="12" hidden="0" customWidth="1"/>
    <x:col min="5" max="5" width="24" hidden="0" customWidth="1"/>
    <x:col min="6" max="6" width="20" hidden="0" customWidth="1"/>
    <x:col min="7" max="7" width="40" hidden="0" customWidth="1"/>
  </x:cols>
  <x:sheetData>
    <x:row r="1" ht="24" customHeight="1">
      <x:c r="A1" s="9" t="str">
        <x:v>Data Sources &amp; Methodology</x:v>
      </x:c>
      <x:c r="B1" s="9"/>
      <x:c r="C1" s="9"/>
      <x:c r="D1" s="9"/>
      <x:c r="E1" s="9"/>
      <x:c r="F1" s="9"/>
      <x:c r="G1" s="9"/>
      <x:c r="H1" s="4"/>
      <x:c r="I1" s="4"/>
      <x:c r="J1" s="4"/>
      <x:c r="K1" s="4"/>
      <x:c r="L1" s="4"/>
      <x:c r="M1" s="4"/>
      <x:c r="N1" s="4"/>
    </x:row>
    <x:row r="2">
      <x:c r="A2" s="16" t="str">
        <x:v>Controlled-data disclosure and calculation methodology.</x:v>
      </x:c>
      <x:c r="B2" s="16"/>
      <x:c r="C2" s="16"/>
      <x:c r="D2" s="16"/>
      <x:c r="E2" s="16"/>
      <x:c r="F2" s="16"/>
      <x:c r="G2" s="16"/>
      <x:c r="H2" s="4"/>
      <x:c r="I2" s="4"/>
      <x:c r="J2" s="4"/>
      <x:c r="K2" s="4"/>
      <x:c r="L2" s="4"/>
      <x:c r="M2" s="4"/>
      <x:c r="N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" customHeight="1">
      <x:c r="A4" s="22" t="str">
        <x:v>Source Register</x:v>
      </x:c>
      <x:c r="B4" s="22"/>
      <x:c r="C4" s="22"/>
      <x:c r="D4" s="22"/>
      <x:c r="E4" s="22"/>
      <x:c r="F4" s="22"/>
      <x:c r="G4" s="22"/>
      <x:c r="H4" s="4"/>
      <x:c r="I4" s="4"/>
      <x:c r="J4" s="4"/>
      <x:c r="K4" s="4"/>
      <x:c r="L4" s="4"/>
      <x:c r="M4" s="4"/>
      <x:c r="N4" s="4"/>
    </x:row>
    <x:row r="5">
      <x:c r="A5" s="80" t="str">
        <x:v>Dataset</x:v>
      </x:c>
      <x:c r="B5" s="74" t="str">
        <x:v>Coverage</x:v>
      </x:c>
      <x:c r="C5" s="74" t="str">
        <x:v>Source / Status</x:v>
      </x:c>
      <x:c r="D5" s="74" t="str">
        <x:v>Live?</x:v>
      </x:c>
      <x:c r="E5" s="74" t="str">
        <x:v>Use</x:v>
      </x:c>
      <x:c r="F5" s="74" t="str">
        <x:v>Engine</x:v>
      </x:c>
      <x:c r="G5" s="74" t="str">
        <x:v>Notes</x:v>
      </x:c>
      <x:c r="H5" s="4"/>
      <x:c r="I5" s="4"/>
      <x:c r="J5" s="4"/>
      <x:c r="K5" s="4"/>
      <x:c r="L5" s="4"/>
      <x:c r="M5" s="4"/>
      <x:c r="N5" s="4"/>
    </x:row>
    <x:row r="6">
      <x:c r="A6" s="4" t="str">
        <x:v>Controlled M&amp;A Inputs</x:v>
      </x:c>
      <x:c r="B6" s="4" t="str">
        <x:v>APX / MDA standalone financials; offer and funding assumptions</x:v>
      </x:c>
      <x:c r="C6" s="4" t="str">
        <x:v>Internal illustrative controlled sample</x:v>
      </x:c>
      <x:c r="D6" s="4" t="str">
        <x:v>No</x:v>
      </x:c>
      <x:c r="E6" s="4" t="str">
        <x:v>Deal-execution demonstration</x:v>
      </x:c>
      <x:c r="F6" s="4" t="str">
        <x:v>Python + Excel</x:v>
      </x:c>
      <x:c r="G6" s="4" t="str">
        <x:v>Fictional companies; not sourced from external filings</x:v>
      </x:c>
      <x:c r="H6" s="4"/>
      <x:c r="I6" s="4"/>
      <x:c r="J6" s="4"/>
      <x:c r="K6" s="4"/>
      <x:c r="L6" s="4"/>
      <x:c r="M6" s="4"/>
      <x:c r="N6" s="4"/>
    </x:row>
    <x:row r="7">
      <x:c r="A7" s="4" t="str">
        <x:v>Transaction Analytics</x:v>
      </x:c>
      <x:c r="B7" s="4" t="str">
        <x:v>Purchase price, enterprise value, funding, ownership</x:v>
      </x:c>
      <x:c r="C7" s="4" t="str">
        <x:v>Calculated from controlled inputs</x:v>
      </x:c>
      <x:c r="D7" s="4" t="str">
        <x:v>No</x:v>
      </x:c>
      <x:c r="E7" s="4" t="str">
        <x:v>M&amp;A execution model</x:v>
      </x:c>
      <x:c r="F7" s="4" t="str">
        <x:v>Python + Excel</x:v>
      </x:c>
      <x:c r="G7" s="4" t="str">
        <x:v>Formula-driven outputs</x:v>
      </x:c>
      <x:c r="H7" s="4"/>
      <x:c r="I7" s="4"/>
      <x:c r="J7" s="4"/>
      <x:c r="K7" s="4"/>
      <x:c r="L7" s="4"/>
      <x:c r="M7" s="4"/>
      <x:c r="N7" s="4"/>
    </x:row>
    <x:row r="8">
      <x:c r="A8" s="4" t="str">
        <x:v>Purchase Accounting</x:v>
      </x:c>
      <x:c r="B8" s="4" t="str">
        <x:v>Book equity, intangible write-up, goodwill, amortization</x:v>
      </x:c>
      <x:c r="C8" s="4" t="str">
        <x:v>Simplified model assumptions</x:v>
      </x:c>
      <x:c r="D8" s="4" t="str">
        <x:v>No</x:v>
      </x:c>
      <x:c r="E8" s="4" t="str">
        <x:v>Illustrative PPA</x:v>
      </x:c>
      <x:c r="F8" s="4" t="str">
        <x:v>Python + Excel</x:v>
      </x:c>
      <x:c r="G8" s="4" t="str">
        <x:v>Excludes deferred taxes and detailed fair-value work</x:v>
      </x:c>
      <x:c r="H8" s="4"/>
      <x:c r="I8" s="4"/>
      <x:c r="J8" s="4"/>
      <x:c r="K8" s="4"/>
      <x:c r="L8" s="4"/>
      <x:c r="M8" s="4"/>
      <x:c r="N8" s="4"/>
    </x:row>
    <x:row r="9">
      <x:c r="A9" s="4" t="str">
        <x:v>Sensitivity</x:v>
      </x:c>
      <x:c r="B9" s="4" t="str">
        <x:v>Offer price vs pre-tax synergies</x:v>
      </x:c>
      <x:c r="C9" s="4" t="str">
        <x:v>Calculated scenario grid</x:v>
      </x:c>
      <x:c r="D9" s="4" t="str">
        <x:v>No</x:v>
      </x:c>
      <x:c r="E9" s="4" t="str">
        <x:v>Mechanical EPS sensitivity</x:v>
      </x:c>
      <x:c r="F9" s="4" t="str">
        <x:v>Excel</x:v>
      </x:c>
      <x:c r="G9" s="4" t="str">
        <x:v>Not a recommendation</x:v>
      </x:c>
      <x:c r="H9" s="4"/>
      <x:c r="I9" s="4"/>
      <x:c r="J9" s="4"/>
      <x:c r="K9" s="4"/>
      <x:c r="L9" s="4"/>
      <x:c r="M9" s="4"/>
      <x:c r="N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 ht="18" customHeight="1">
      <x:c r="A12" s="22" t="str">
        <x:v>Methodology &amp; Limitations</x:v>
      </x:c>
      <x:c r="B12" s="22"/>
      <x:c r="C12" s="22"/>
      <x:c r="D12" s="22"/>
      <x:c r="E12" s="22"/>
      <x:c r="F12" s="22"/>
      <x:c r="G12" s="22"/>
      <x:c r="H12" s="4"/>
      <x:c r="I12" s="4"/>
      <x:c r="J12" s="4"/>
      <x:c r="K12" s="4"/>
      <x:c r="L12" s="4"/>
      <x:c r="M12" s="4"/>
      <x:c r="N12" s="4"/>
    </x:row>
    <x:row r="13">
      <x:c r="A13" s="98" t="str">
        <x:v>• Equity purchase price = offer price × target shares outstanding.</x:v>
      </x:c>
      <x:c r="B13" s="98"/>
      <x:c r="C13" s="98"/>
      <x:c r="D13" s="98"/>
      <x:c r="E13" s="98"/>
      <x:c r="F13" s="98"/>
      <x:c r="G13" s="98"/>
      <x:c r="H13" s="4"/>
      <x:c r="I13" s="4"/>
      <x:c r="J13" s="4"/>
      <x:c r="K13" s="4"/>
      <x:c r="L13" s="4"/>
      <x:c r="M13" s="4"/>
      <x:c r="N13" s="4"/>
    </x:row>
    <x:row r="14">
      <x:c r="A14" s="98" t="str">
        <x:v>• Enterprise value = equity purchase price + target debt − target cash.</x:v>
      </x:c>
      <x:c r="B14" s="98"/>
      <x:c r="C14" s="98"/>
      <x:c r="D14" s="98"/>
      <x:c r="E14" s="98"/>
      <x:c r="F14" s="98"/>
      <x:c r="G14" s="98"/>
      <x:c r="H14" s="4"/>
      <x:c r="I14" s="4"/>
      <x:c r="J14" s="4"/>
      <x:c r="K14" s="4"/>
      <x:c r="L14" s="4"/>
      <x:c r="M14" s="4"/>
      <x:c r="N14" s="4"/>
    </x:row>
    <x:row r="15">
      <x:c r="A15" s="98" t="str">
        <x:v>• Cash consideration is funded by cash on hand and incremental debt; stock consideration creates new shares.</x:v>
      </x:c>
      <x:c r="B15" s="98"/>
      <x:c r="C15" s="98"/>
      <x:c r="D15" s="98"/>
      <x:c r="E15" s="98"/>
      <x:c r="F15" s="98"/>
      <x:c r="G15" s="98"/>
      <x:c r="H15" s="4"/>
      <x:c r="I15" s="4"/>
      <x:c r="J15" s="4"/>
      <x:c r="K15" s="4"/>
      <x:c r="L15" s="4"/>
      <x:c r="M15" s="4"/>
      <x:c r="N15" s="4"/>
    </x:row>
    <x:row r="16">
      <x:c r="A16" s="98" t="str">
        <x:v>• Pro forma net income adds target earnings and after-tax synergies, then subtracts after-tax financing drag and amortization.</x:v>
      </x:c>
      <x:c r="B16" s="98"/>
      <x:c r="C16" s="98"/>
      <x:c r="D16" s="98"/>
      <x:c r="E16" s="98"/>
      <x:c r="F16" s="98"/>
      <x:c r="G16" s="98"/>
      <x:c r="H16" s="4"/>
      <x:c r="I16" s="4"/>
      <x:c r="J16" s="4"/>
      <x:c r="K16" s="4"/>
      <x:c r="L16" s="4"/>
      <x:c r="M16" s="4"/>
      <x:c r="N16" s="4"/>
    </x:row>
    <x:row r="17">
      <x:c r="A17" s="98" t="str">
        <x:v>• Purchase accounting is simplified and excludes deferred taxes, financing fees, depreciation step-ups and detailed fair-value adjustments.</x:v>
      </x:c>
      <x:c r="B17" s="98"/>
      <x:c r="C17" s="98"/>
      <x:c r="D17" s="98"/>
      <x:c r="E17" s="98"/>
      <x:c r="F17" s="98"/>
      <x:c r="G17" s="98"/>
      <x:c r="H17" s="4"/>
      <x:c r="I17" s="4"/>
      <x:c r="J17" s="4"/>
      <x:c r="K17" s="4"/>
      <x:c r="L17" s="4"/>
      <x:c r="M17" s="4"/>
      <x:c r="N17" s="4"/>
    </x:row>
    <x:row r="18">
      <x:c r="A18" s="98" t="str">
        <x:v>• The workbook uses controlled illustrative data only; it is not transaction advice or a recommendation.</x:v>
      </x:c>
      <x:c r="B18" s="98"/>
      <x:c r="C18" s="98"/>
      <x:c r="D18" s="98"/>
      <x:c r="E18" s="98"/>
      <x:c r="F18" s="98"/>
      <x:c r="G18" s="98"/>
      <x:c r="H18" s="4"/>
      <x:c r="I18" s="4"/>
      <x:c r="J18" s="4"/>
      <x:c r="K18" s="4"/>
      <x:c r="L18" s="4"/>
      <x:c r="M18" s="4"/>
      <x:c r="N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</x:row>
  </x:sheetData>
  <x:mergeCells>
    <x:mergeCell ref="A1:G1"/>
    <x:mergeCell ref="A2:G2"/>
    <x:mergeCell ref="A4:G4"/>
    <x:mergeCell ref="A12:G12"/>
    <x:mergeCell ref="A13:G13"/>
    <x:mergeCell ref="A14:G14"/>
    <x:mergeCell ref="A15:G15"/>
    <x:mergeCell ref="A16:G16"/>
    <x:mergeCell ref="A17:G17"/>
    <x:mergeCell ref="A18:G18"/>
  </x:mergeCells>
  <x:pageMargins left="0.7" right="0.7" top="0.75" bottom="0.75" header="0.3" footer="0.3"/>
</x:worksheet>
</file>